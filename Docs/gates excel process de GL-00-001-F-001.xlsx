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Programs\Quality Gates\Docs\"/>
    </mc:Choice>
  </mc:AlternateContent>
  <xr:revisionPtr revIDLastSave="0" documentId="13_ncr:1_{E6C25C36-81C3-466F-80D6-AC2EBD503271}" xr6:coauthVersionLast="47" xr6:coauthVersionMax="47" xr10:uidLastSave="{00000000-0000-0000-0000-000000000000}"/>
  <bookViews>
    <workbookView xWindow="-110" yWindow="-110" windowWidth="19420" windowHeight="11500" tabRatio="805" activeTab="3" xr2:uid="{9CBED7F6-AA60-46EE-BD3C-1CB510BC1F1A}"/>
  </bookViews>
  <sheets>
    <sheet name="0.APQP GRC" sheetId="19" r:id="rId1"/>
    <sheet name="Sheet1" sheetId="21" state="hidden" r:id="rId2"/>
    <sheet name="Sheet2" sheetId="20" state="hidden" r:id="rId3"/>
    <sheet name="0. Items + RASIC" sheetId="10" r:id="rId4"/>
    <sheet name="1. Feasibility" sheetId="14" r:id="rId5"/>
    <sheet name="2.Design Validation" sheetId="15" r:id="rId6"/>
    <sheet name="3. Industrialization" sheetId="16" r:id="rId7"/>
    <sheet name="4. SOP+6M" sheetId="17" r:id="rId8"/>
    <sheet name="Gate Release Team" sheetId="22" r:id="rId9"/>
    <sheet name="Ed. Control" sheetId="2" r:id="rId10"/>
    <sheet name="APQP GRC Non-Auto (PENDING)" sheetId="12" r:id="rId11"/>
    <sheet name="IT INFO" sheetId="23" r:id="rId12"/>
  </sheets>
  <definedNames>
    <definedName name="_xlnm._FilterDatabase" localSheetId="3" hidden="1">'0. Items + RASIC'!$12:$76</definedName>
    <definedName name="_xlnm._FilterDatabase" localSheetId="0" hidden="1">'0.APQP GRC'!$12:$76</definedName>
    <definedName name="_xlnm._FilterDatabase" localSheetId="4" hidden="1">'1. Feasibility'!$C$12:$P$27</definedName>
    <definedName name="_xlnm._FilterDatabase" localSheetId="5" hidden="1">'2.Design Validation'!$12:$32</definedName>
    <definedName name="_xlnm._FilterDatabase" localSheetId="6" hidden="1">'3. Industrialization'!$12:$31</definedName>
    <definedName name="_xlnm._FilterDatabase" localSheetId="7" hidden="1">'4. SOP+6M'!$12:$19</definedName>
    <definedName name="_xlnm._FilterDatabase" localSheetId="10" hidden="1">'APQP GRC Non-Auto (PENDING)'!$A$13:$XFB$95</definedName>
    <definedName name="_xlnm._FilterDatabase" localSheetId="8" hidden="1">'Gate Release Team'!$12:$20</definedName>
    <definedName name="_Order1" hidden="1">0</definedName>
    <definedName name="_Order2" hidden="1">0</definedName>
    <definedName name="_xlnm.Print_Area" localSheetId="3">'0. Items + RASIC'!$B$3:$N$77</definedName>
    <definedName name="_xlnm.Print_Area" localSheetId="0">'0.APQP GRC'!$B$3:$S$77</definedName>
    <definedName name="_xlnm.Print_Area" localSheetId="4">'1. Feasibility'!$B$3:$P$27</definedName>
    <definedName name="_xlnm.Print_Area" localSheetId="5">'2.Design Validation'!$B$3:$O$32</definedName>
    <definedName name="_xlnm.Print_Area" localSheetId="6">'3. Industrialization'!$B$3:$O$31</definedName>
    <definedName name="_xlnm.Print_Area" localSheetId="7">'4. SOP+6M'!$B$3:$S$20</definedName>
    <definedName name="_xlnm.Print_Area" localSheetId="10">'APQP GRC Non-Auto (PENDING)'!$B$3:$Y$96</definedName>
    <definedName name="_xlnm.Print_Area" localSheetId="9">'Ed. Control'!$A$1:$F$22</definedName>
    <definedName name="_xlnm.Print_Area" localSheetId="8">'Gate Release Team'!$B$3:$D$21</definedName>
    <definedName name="g">#REF!</definedName>
    <definedName name="jk">#REF!</definedName>
    <definedName name="k">#REF!</definedName>
    <definedName name="ndc">#REF!</definedName>
    <definedName name="PLSS_DB">#REF!</definedName>
    <definedName name="_xlnm.Print_Titles" localSheetId="3">'0. Items + RASIC'!$3:$11</definedName>
    <definedName name="_xlnm.Print_Titles" localSheetId="0">'0.APQP GRC'!$3:$11</definedName>
    <definedName name="_xlnm.Print_Titles" localSheetId="4">'1. Feasibility'!$3:$11</definedName>
    <definedName name="_xlnm.Print_Titles" localSheetId="5">'2.Design Validation'!$3:$11</definedName>
    <definedName name="_xlnm.Print_Titles" localSheetId="6">'3. Industrialization'!$3:$11</definedName>
    <definedName name="_xlnm.Print_Titles" localSheetId="7">'4. SOP+6M'!$3:$11</definedName>
    <definedName name="_xlnm.Print_Titles" localSheetId="10">'APQP GRC Non-Auto (PENDING)'!$3:$12</definedName>
    <definedName name="_xlnm.Print_Titles" localSheetId="8">'Gate Release Team'!$3:$11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4" l="1"/>
  <c r="J7" i="14"/>
  <c r="J8" i="14"/>
  <c r="J9" i="14"/>
  <c r="J10" i="14"/>
  <c r="N10" i="17"/>
  <c r="H10" i="17"/>
  <c r="N9" i="17"/>
  <c r="H9" i="17"/>
  <c r="N8" i="17"/>
  <c r="H8" i="17"/>
  <c r="N7" i="17"/>
  <c r="H7" i="17"/>
  <c r="N6" i="17"/>
  <c r="H6" i="17"/>
  <c r="M10" i="16"/>
  <c r="I10" i="16"/>
  <c r="M9" i="16"/>
  <c r="I9" i="16"/>
  <c r="M8" i="16"/>
  <c r="I8" i="16"/>
  <c r="M7" i="16"/>
  <c r="I7" i="16"/>
  <c r="M6" i="16"/>
  <c r="I6" i="16"/>
  <c r="M10" i="15"/>
  <c r="I10" i="15"/>
  <c r="M9" i="15"/>
  <c r="I9" i="15"/>
  <c r="M8" i="15"/>
  <c r="I8" i="15"/>
  <c r="M7" i="15"/>
  <c r="I7" i="15"/>
  <c r="M6" i="15"/>
  <c r="I6" i="15"/>
  <c r="N7" i="14"/>
  <c r="N8" i="14"/>
  <c r="N9" i="14"/>
  <c r="N10" i="14"/>
  <c r="N6" i="14"/>
  <c r="M78" i="12"/>
  <c r="M55" i="12"/>
  <c r="Q33" i="12"/>
</calcChain>
</file>

<file path=xl/sharedStrings.xml><?xml version="1.0" encoding="utf-8"?>
<sst xmlns="http://schemas.openxmlformats.org/spreadsheetml/2006/main" count="1954" uniqueCount="728">
  <si>
    <t>APQP Gate Release Checklist (APQP GRC)</t>
  </si>
  <si>
    <r>
      <rPr>
        <b/>
        <u/>
        <sz val="16"/>
        <color theme="1"/>
        <rFont val="Arial"/>
        <family val="2"/>
      </rPr>
      <t>GATES RACI CHART</t>
    </r>
    <r>
      <rPr>
        <b/>
        <sz val="16"/>
        <color theme="1"/>
        <rFont val="Arial"/>
        <family val="2"/>
      </rPr>
      <t xml:space="preserve">
</t>
    </r>
    <r>
      <rPr>
        <b/>
        <sz val="20"/>
        <color rgb="FFFF0000"/>
        <rFont val="Arial"/>
        <family val="2"/>
      </rPr>
      <t>R</t>
    </r>
    <r>
      <rPr>
        <b/>
        <sz val="16"/>
        <color theme="1"/>
        <rFont val="Arial"/>
        <family val="2"/>
      </rPr>
      <t xml:space="preserve">ESPONSIBLE
</t>
    </r>
    <r>
      <rPr>
        <b/>
        <sz val="20"/>
        <color rgb="FFFF0000"/>
        <rFont val="Arial"/>
        <family val="2"/>
      </rPr>
      <t>A</t>
    </r>
    <r>
      <rPr>
        <b/>
        <sz val="16"/>
        <color theme="1"/>
        <rFont val="Arial"/>
        <family val="2"/>
      </rPr>
      <t xml:space="preserve">CCOUNTABLE
</t>
    </r>
    <r>
      <rPr>
        <b/>
        <sz val="16"/>
        <color rgb="FFFF3300"/>
        <rFont val="Arial"/>
        <family val="2"/>
      </rPr>
      <t>S</t>
    </r>
    <r>
      <rPr>
        <b/>
        <sz val="16"/>
        <color theme="1"/>
        <rFont val="Arial"/>
        <family val="2"/>
      </rPr>
      <t xml:space="preserve">UPPORTING
</t>
    </r>
    <r>
      <rPr>
        <b/>
        <sz val="20"/>
        <color rgb="FFFF0000"/>
        <rFont val="Arial"/>
        <family val="2"/>
      </rPr>
      <t>C</t>
    </r>
    <r>
      <rPr>
        <b/>
        <sz val="16"/>
        <color theme="1"/>
        <rFont val="Arial"/>
        <family val="2"/>
      </rPr>
      <t xml:space="preserve">ONSULTED
</t>
    </r>
    <r>
      <rPr>
        <b/>
        <sz val="20"/>
        <color rgb="FFFF0000"/>
        <rFont val="Arial"/>
        <family val="2"/>
      </rPr>
      <t>I</t>
    </r>
    <r>
      <rPr>
        <b/>
        <sz val="16"/>
        <color theme="1"/>
        <rFont val="Arial"/>
        <family val="2"/>
      </rPr>
      <t>NFORMED</t>
    </r>
  </si>
  <si>
    <t>Not started</t>
  </si>
  <si>
    <t>Open</t>
  </si>
  <si>
    <t>OK</t>
  </si>
  <si>
    <t>Automotive</t>
  </si>
  <si>
    <t>TBD</t>
  </si>
  <si>
    <t>Launched</t>
  </si>
  <si>
    <t>Conditionally closed</t>
  </si>
  <si>
    <t>Cond. OK</t>
  </si>
  <si>
    <t>Non-Automotive</t>
  </si>
  <si>
    <t>PREMO Mediterranée</t>
  </si>
  <si>
    <t>Da Nang</t>
  </si>
  <si>
    <t>Completed</t>
  </si>
  <si>
    <t>N/A</t>
  </si>
  <si>
    <t>PREMO Wuhu</t>
  </si>
  <si>
    <t>Málaga</t>
  </si>
  <si>
    <t>Project Manager :</t>
  </si>
  <si>
    <t>Name Surname</t>
  </si>
  <si>
    <t>Project Name:</t>
  </si>
  <si>
    <t>Approved</t>
  </si>
  <si>
    <t>Tangier</t>
  </si>
  <si>
    <t>PREMO P/N:</t>
  </si>
  <si>
    <t>X-12345-678</t>
  </si>
  <si>
    <t>Part Description:</t>
  </si>
  <si>
    <t>Rejected</t>
  </si>
  <si>
    <t>Wuhu</t>
  </si>
  <si>
    <t>Customer P/N:</t>
  </si>
  <si>
    <t>RT23423AA</t>
  </si>
  <si>
    <t>Customer Name:</t>
  </si>
  <si>
    <t>Name of the customer</t>
  </si>
  <si>
    <t>Samples Center:</t>
  </si>
  <si>
    <t>Category:</t>
  </si>
  <si>
    <t>Manuf. Center:</t>
  </si>
  <si>
    <t>Last Rev. Date:</t>
  </si>
  <si>
    <r>
      <rPr>
        <b/>
        <u/>
        <sz val="16"/>
        <color theme="0"/>
        <rFont val="Montserrat"/>
      </rPr>
      <t>FEASIBILITY FOR OPPORTUNITIES</t>
    </r>
    <r>
      <rPr>
        <b/>
        <sz val="16"/>
        <color theme="0"/>
        <rFont val="Montserrat"/>
      </rPr>
      <t xml:space="preserve"> - QUALITY GATE LEAD: BUSINESS UNIT DIRECTOR</t>
    </r>
  </si>
  <si>
    <t>Action item/Deliverable</t>
  </si>
  <si>
    <t>Status</t>
  </si>
  <si>
    <t>Planned Date</t>
  </si>
  <si>
    <t>Link to deliverable</t>
  </si>
  <si>
    <t>Remarks / Gaps</t>
  </si>
  <si>
    <t>Criteria for acceptance</t>
  </si>
  <si>
    <t>Responsible</t>
  </si>
  <si>
    <t>Accountable</t>
  </si>
  <si>
    <t>Supporting</t>
  </si>
  <si>
    <t>Consulted</t>
  </si>
  <si>
    <t>Informed</t>
  </si>
  <si>
    <t>Feasibility for Opportunities</t>
  </si>
  <si>
    <t>1.1</t>
  </si>
  <si>
    <t>CIR (Customer Input Requirements)</t>
  </si>
  <si>
    <r>
      <rPr>
        <b/>
        <sz val="12"/>
        <color theme="1"/>
        <rFont val="Arial"/>
        <family val="2"/>
      </rPr>
      <t>CIR Form</t>
    </r>
    <r>
      <rPr>
        <sz val="12"/>
        <color theme="1"/>
        <rFont val="Arial"/>
        <family val="2"/>
      </rPr>
      <t xml:space="preserve"> (Technical/Commercial)</t>
    </r>
  </si>
  <si>
    <t>1.- All mandatory fields filled in 
2.- Reviewed by BU Director</t>
  </si>
  <si>
    <t>Key Account Manager</t>
  </si>
  <si>
    <t>BU Director</t>
  </si>
  <si>
    <t>Field Application Engineer</t>
  </si>
  <si>
    <t>Category Design Leader</t>
  </si>
  <si>
    <t>R&amp;D Director / Corporate Quality Director</t>
  </si>
  <si>
    <t>1.2</t>
  </si>
  <si>
    <t>Technical Feasibility</t>
  </si>
  <si>
    <t>Technical Feasibility Analysis</t>
  </si>
  <si>
    <t>1.- Technical feasibility analysis result is determined (OK/NG): product/process requirements cross check and estimated margin (quick costing done)
2.- Reviewed by CDL</t>
  </si>
  <si>
    <t>Product design engineer / Corporate controller</t>
  </si>
  <si>
    <t>1.3</t>
  </si>
  <si>
    <t>Project Committe Acceptance</t>
  </si>
  <si>
    <r>
      <rPr>
        <b/>
        <sz val="12"/>
        <color theme="1"/>
        <rFont val="Arial"/>
        <family val="2"/>
      </rPr>
      <t>1.- Project Cttee Acceptance Submission</t>
    </r>
    <r>
      <rPr>
        <sz val="12"/>
        <color theme="1"/>
        <rFont val="Arial"/>
        <family val="2"/>
      </rPr>
      <t xml:space="preserve">
2.- Gate 1 Release Team definition and design/samples/manuf center definition inside PCA submission</t>
    </r>
  </si>
  <si>
    <t>1.- Technical feasibility analysis result must be OK
2.- All mandatory fields filled in
3.- Reviewed by CDL</t>
  </si>
  <si>
    <t>1.- Key Account Manager
2.- RD Director, Purchasing Director, Quality Director, Plant Manager, Operations Director</t>
  </si>
  <si>
    <t>CEO</t>
  </si>
  <si>
    <t>CFO / Sr. Management Team / Project Manager</t>
  </si>
  <si>
    <t>1.4</t>
  </si>
  <si>
    <t>Previous DFMEA and Lessons Learnt</t>
  </si>
  <si>
    <r>
      <rPr>
        <b/>
        <sz val="12"/>
        <color theme="1"/>
        <rFont val="Arial"/>
        <family val="2"/>
      </rPr>
      <t>DFMEA</t>
    </r>
    <r>
      <rPr>
        <sz val="12"/>
        <color theme="1"/>
        <rFont val="Arial"/>
        <family val="2"/>
      </rPr>
      <t xml:space="preserve"> and Lessons Learn up to date of the product family</t>
    </r>
  </si>
  <si>
    <t>1.- Family FMEA is reviewed by FAE</t>
  </si>
  <si>
    <t>R&amp;D Manager</t>
  </si>
  <si>
    <t xml:space="preserve"> Project Quality Engineer</t>
  </si>
  <si>
    <t>Corporate Quality Director</t>
  </si>
  <si>
    <t>1.5</t>
  </si>
  <si>
    <t xml:space="preserve">Technical definition </t>
  </si>
  <si>
    <r>
      <t xml:space="preserve">
</t>
    </r>
    <r>
      <rPr>
        <b/>
        <sz val="12"/>
        <color theme="1"/>
        <rFont val="Arial"/>
        <family val="2"/>
      </rPr>
      <t>1. Design Concept</t>
    </r>
    <r>
      <rPr>
        <sz val="12"/>
        <color theme="1"/>
        <rFont val="Arial"/>
        <family val="2"/>
      </rPr>
      <t xml:space="preserve">
</t>
    </r>
    <r>
      <rPr>
        <b/>
        <sz val="12"/>
        <color theme="1"/>
        <rFont val="Arial"/>
        <family val="2"/>
      </rPr>
      <t>2. BOM &amp; Process Flowchart</t>
    </r>
    <r>
      <rPr>
        <sz val="12"/>
        <color theme="1"/>
        <rFont val="Arial"/>
        <family val="2"/>
      </rPr>
      <t xml:space="preserve"> (inside PDCC)
</t>
    </r>
    <r>
      <rPr>
        <b/>
        <sz val="12"/>
        <color theme="1"/>
        <rFont val="Arial"/>
        <family val="2"/>
      </rPr>
      <t>3. Preliminary Datasheet</t>
    </r>
  </si>
  <si>
    <t>1.- Design Concept: all mandatory fields fileld in (BOM and Flowchart)
2.- BOM &amp; Process Flowchart in PDCC matching with Design Concept
3.- Preliminary Datasheet is complete and reviewed by RD Manager/Supervisor/CDL</t>
  </si>
  <si>
    <t>Product design engineer</t>
  </si>
  <si>
    <t>Process design engineer</t>
  </si>
  <si>
    <t>R&amp;D Director / Key Account Manager / Purchasing Officer / Project Quality Engineer</t>
  </si>
  <si>
    <t>1.6</t>
  </si>
  <si>
    <t xml:space="preserve">PDCC completion </t>
  </si>
  <si>
    <t xml:space="preserve">PDCC </t>
  </si>
  <si>
    <t>1.- All mandatory fields filled in 
2.- Reviewed by Functional Managers (Purchasing, RD)
3.- Reviewed by Corporate controlling for consistency</t>
  </si>
  <si>
    <t>PDCC team defined inside PDCC</t>
  </si>
  <si>
    <t>Corporate Controller</t>
  </si>
  <si>
    <t xml:space="preserve">Corporate Controller / BU Director </t>
  </si>
  <si>
    <t>1.7</t>
  </si>
  <si>
    <t>Samples WI</t>
  </si>
  <si>
    <t>Samples WI (A)</t>
  </si>
  <si>
    <t>1.- All materials of BOM and process steps inside PDCC/Design Concept are included. Visuals may be provided with 3D drawing snapshots at this stage.
2.- Quality criteria for each step and technology to be used is defined. No need to specify process parameters, only record them in SIR later.
3.- Reviewed by RD Supervisor/Manager</t>
  </si>
  <si>
    <t>Product design Engineer</t>
  </si>
  <si>
    <t xml:space="preserve"> Process design Engineer</t>
  </si>
  <si>
    <t>Prototype Engineer</t>
  </si>
  <si>
    <t xml:space="preserve">Field Application Engineer / Prototype Engineer / Sample Leader / Project Quality Inspector </t>
  </si>
  <si>
    <t>1.8</t>
  </si>
  <si>
    <t>Sample Production</t>
  </si>
  <si>
    <r>
      <rPr>
        <b/>
        <sz val="12"/>
        <color theme="1"/>
        <rFont val="Arial"/>
        <family val="2"/>
      </rPr>
      <t>1. Sample Production Plan</t>
    </r>
    <r>
      <rPr>
        <sz val="12"/>
        <color theme="1"/>
        <rFont val="Arial"/>
        <family val="2"/>
      </rPr>
      <t xml:space="preserve">
</t>
    </r>
    <r>
      <rPr>
        <b/>
        <sz val="12"/>
        <color theme="1"/>
        <rFont val="Arial"/>
        <family val="2"/>
      </rPr>
      <t xml:space="preserve">2. SIR </t>
    </r>
  </si>
  <si>
    <t>1.- Sample Production Plan: all mandatory fields are filled in and reviewed by FAE/RD Manager
2.- SIR: all mandatory fields are filled in (including 3rd and extreme test/disassembly) and reviewed by Product design engineer</t>
  </si>
  <si>
    <t>1.- Product design engineer
2.- Prototype Engineer</t>
  </si>
  <si>
    <t>1.- Field Application Engineer
2.- Product design engineer</t>
  </si>
  <si>
    <t>1.9</t>
  </si>
  <si>
    <t>Customer Feedback</t>
  </si>
  <si>
    <t>Customer feedback: Email, report summary</t>
  </si>
  <si>
    <t>Evidence is available</t>
  </si>
  <si>
    <t>Category Design Leader / Field Application Engineer</t>
  </si>
  <si>
    <t xml:space="preserve">R&amp;D Manager </t>
  </si>
  <si>
    <t>1.10</t>
  </si>
  <si>
    <r>
      <t xml:space="preserve">Feasibility bundle </t>
    </r>
    <r>
      <rPr>
        <b/>
        <sz val="20"/>
        <color rgb="FFFF3300"/>
        <rFont val="Montserrat"/>
      </rPr>
      <t>(*)</t>
    </r>
  </si>
  <si>
    <r>
      <rPr>
        <b/>
        <sz val="12"/>
        <rFont val="Arial"/>
        <family val="2"/>
      </rPr>
      <t>Close Feasibility Bundle</t>
    </r>
    <r>
      <rPr>
        <sz val="12"/>
        <rFont val="Arial"/>
        <family val="2"/>
      </rPr>
      <t xml:space="preserve"> (project plan inside)</t>
    </r>
  </si>
  <si>
    <t>1.- Close Feasibility Bundle result is determined (OK/NG) based on timeline, pricing and technical feasibility by customer.
2.- Close Feasibility Bundle is reviewed by senior management team (RD Director/QA Director/Plant Manager/Purchasing Director)</t>
  </si>
  <si>
    <t>Project Manager</t>
  </si>
  <si>
    <t>R&amp;D Director / Plant Manager</t>
  </si>
  <si>
    <t>BU Director / Plant Manager</t>
  </si>
  <si>
    <t>1.11</t>
  </si>
  <si>
    <r>
      <t xml:space="preserve">Customer Agreement - LON </t>
    </r>
    <r>
      <rPr>
        <b/>
        <sz val="20"/>
        <color rgb="FFFF3300"/>
        <rFont val="Montserrat"/>
      </rPr>
      <t>(*)</t>
    </r>
  </si>
  <si>
    <r>
      <rPr>
        <b/>
        <sz val="12"/>
        <rFont val="Arial"/>
        <family val="2"/>
      </rPr>
      <t>1.- RFQ Cttee Submission
2.- LON</t>
    </r>
    <r>
      <rPr>
        <sz val="12"/>
        <rFont val="Arial"/>
        <family val="2"/>
      </rPr>
      <t xml:space="preserve"> </t>
    </r>
  </si>
  <si>
    <t>1.- Close Feasibility Bundle result is OK from customer and internal review.
2.- RFQ Cttee Submission conditions match with LON conditions
3.- LON is reviewed by Corporate Controlling
4.- LON is signed by CFO/CEO</t>
  </si>
  <si>
    <t>Sr. Management Team / Project Manager</t>
  </si>
  <si>
    <t>PHASE VALIDATION RESULT</t>
  </si>
  <si>
    <t>PHASE LEAD</t>
  </si>
  <si>
    <t>Release Status:</t>
  </si>
  <si>
    <t>Released by:</t>
  </si>
  <si>
    <t>Release Date:</t>
  </si>
  <si>
    <t>2</t>
  </si>
  <si>
    <r>
      <rPr>
        <b/>
        <u/>
        <sz val="16"/>
        <color theme="0"/>
        <rFont val="Montserrat"/>
      </rPr>
      <t>DESIGN VALIDATION</t>
    </r>
    <r>
      <rPr>
        <b/>
        <sz val="16"/>
        <color theme="0"/>
        <rFont val="Montserrat"/>
      </rPr>
      <t xml:space="preserve"> - QUALITY GATE LEAD: RD DIRECTOR</t>
    </r>
  </si>
  <si>
    <t>Design Validation</t>
  </si>
  <si>
    <t>2.1</t>
  </si>
  <si>
    <t>Team Definition</t>
  </si>
  <si>
    <t>Gate Release Team defined in GRC Form and in PDCC for all the gates (adding 2, 3 and 4)</t>
  </si>
  <si>
    <t>1.- Gate Release Team for all gates defined (adding 2, 3 and 4)
2.- Team definition coordinated with functions and communicated to responsibles and management</t>
  </si>
  <si>
    <t>Plant Manager</t>
  </si>
  <si>
    <t>R&amp;D Manager / QA Manager / Engineering Manager / Purchasing Manager / Production Manager/ Maintenance Manager / Supply Chain Manager</t>
  </si>
  <si>
    <t xml:space="preserve">Operations Director / R&amp;D Director / QA Director / Purchasing Director  </t>
  </si>
  <si>
    <t>Sr. Management Team / Plant Management Team</t>
  </si>
  <si>
    <t>2.2</t>
  </si>
  <si>
    <t xml:space="preserve">Project Master Plan </t>
  </si>
  <si>
    <r>
      <rPr>
        <b/>
        <sz val="12"/>
        <rFont val="Arial"/>
        <family val="2"/>
      </rPr>
      <t>PMP (Project Master Plan)</t>
    </r>
    <r>
      <rPr>
        <sz val="12"/>
        <rFont val="Arial"/>
        <family val="2"/>
      </rPr>
      <t>:
1. DV 
2. PV
3. QTP
4. Supplier validation
5. Customer milestones vs Premo milestones</t>
    </r>
  </si>
  <si>
    <t>1.- All plans are available
2.- Customer milestones are achievable
3.- Plans are reviewed by Functional managers</t>
  </si>
  <si>
    <t>1. Product design Engineer
2. Industrial Engineer
3. Project Quality Engineer
4. Purchasing Officer</t>
  </si>
  <si>
    <t>1.- Field Application Engineer
2.- Process design Engineer
3.- Laboratory Engineer
4.- Supplier Quality Engineer</t>
  </si>
  <si>
    <t>1. R&amp;D Manager 
2. Engineering Manager
3. QA Manager
4. Purchasing Manager
5.- Key Account Manager</t>
  </si>
  <si>
    <t>R&amp;D Director / BU Director / QA Director / Purchasing Director / Plant Manager / Key Account Manager</t>
  </si>
  <si>
    <t>2.3</t>
  </si>
  <si>
    <t xml:space="preserve">Launch the investment </t>
  </si>
  <si>
    <r>
      <rPr>
        <b/>
        <sz val="12"/>
        <rFont val="Arial"/>
        <family val="2"/>
      </rPr>
      <t>1.- CAPEX Cttee Submission</t>
    </r>
    <r>
      <rPr>
        <sz val="12"/>
        <rFont val="Arial"/>
        <family val="2"/>
      </rPr>
      <t xml:space="preserve">
2.- Investment system release</t>
    </r>
  </si>
  <si>
    <t>1.- CAPEX Cttee Submission: all mandatory data is filled in (project introduction, technical presentation, investment list, economical analysis) and is presented in Monthly CAPEX meeting to Senior Mgmt
2.- Investment system release: CAPEX Cttee Submission is approved by CEO and CFO and CO order released for the approved amount</t>
  </si>
  <si>
    <t>1.- Project Manager
2.- Corporate controller</t>
  </si>
  <si>
    <t>1.- RD Director
2.- Project Manager</t>
  </si>
  <si>
    <t>Quality Director / Purchasing Director / R&amp;D Director</t>
  </si>
  <si>
    <t xml:space="preserve">CEO / CFO </t>
  </si>
  <si>
    <t>Purchasing Manager / Quality Manager / Plant Finance Manager / Plant Manager</t>
  </si>
  <si>
    <t>2.4</t>
  </si>
  <si>
    <t xml:space="preserve">Project Kick off </t>
  </si>
  <si>
    <t>Email or MoM</t>
  </si>
  <si>
    <t xml:space="preserve"> </t>
  </si>
  <si>
    <t>MoM is available</t>
  </si>
  <si>
    <t>BU Director / Operations Director</t>
  </si>
  <si>
    <t>2.5</t>
  </si>
  <si>
    <t>Design Concept Review</t>
  </si>
  <si>
    <r>
      <rPr>
        <b/>
        <sz val="12"/>
        <rFont val="Arial"/>
        <family val="2"/>
      </rPr>
      <t>1.- Design Concept</t>
    </r>
    <r>
      <rPr>
        <sz val="12"/>
        <rFont val="Arial"/>
        <family val="2"/>
      </rPr>
      <t xml:space="preserve">
2.- BOM (inside PDCC) 
3.- </t>
    </r>
    <r>
      <rPr>
        <b/>
        <sz val="12"/>
        <rFont val="Arial"/>
        <family val="2"/>
      </rPr>
      <t>Process Flowchart</t>
    </r>
    <r>
      <rPr>
        <sz val="12"/>
        <rFont val="Arial"/>
        <family val="2"/>
      </rPr>
      <t xml:space="preserve"> </t>
    </r>
  </si>
  <si>
    <t>1.- Design Concept: all mandatory fields fileld in (BOM and Flowchart)
2.- BOM &amp; Process Flowchart in PDCC matching with Design Concept
3.- Process Flowchart defines all steps of the process (manufacturing and control)</t>
  </si>
  <si>
    <t>1 &amp;2 .- Product design engineer
3.- Process design engineer</t>
  </si>
  <si>
    <t>1 &amp;2.- Process design engineer
3.- Industrial engineer</t>
  </si>
  <si>
    <t xml:space="preserve"> Project Manager / Purchasing Manager / R&amp;D Director</t>
  </si>
  <si>
    <t>2.6</t>
  </si>
  <si>
    <t>DFMEA and Preliminary PFMEA</t>
  </si>
  <si>
    <t xml:space="preserve">1.- DFMEA 
2.- PFMEA 
</t>
  </si>
  <si>
    <t>1.- DFMEA is including all customer requirements and PFMEA is including all process steps and product characteristics
2.- There is always action when RPN is higher than defined limit (100)
3.- Both FMEAs are reviewed by Functional Manager and CDL</t>
  </si>
  <si>
    <t>1. Product design Engineer
2. Process design Engineer</t>
  </si>
  <si>
    <t>Project Quality Engineer</t>
  </si>
  <si>
    <t>Coporate QMS / Field Application Engineer</t>
  </si>
  <si>
    <t>Corporate Quality Engineer / R&amp;D Manager / Category Deisgn Leader / Engineering Manager</t>
  </si>
  <si>
    <t>Engineering Manager/ Production Manager/ Plant Quality Manager / Project Manager</t>
  </si>
  <si>
    <t>2.7</t>
  </si>
  <si>
    <t xml:space="preserve">Product &amp; Process Technical Definition: </t>
  </si>
  <si>
    <r>
      <rPr>
        <b/>
        <sz val="12"/>
        <rFont val="Arial"/>
        <family val="2"/>
      </rPr>
      <t>1. Product Datasheet</t>
    </r>
    <r>
      <rPr>
        <sz val="12"/>
        <rFont val="Arial"/>
        <family val="2"/>
      </rPr>
      <t xml:space="preserve"> and </t>
    </r>
    <r>
      <rPr>
        <b/>
        <sz val="12"/>
        <rFont val="Arial"/>
        <family val="2"/>
      </rPr>
      <t>Raw material specifications</t>
    </r>
    <r>
      <rPr>
        <sz val="12"/>
        <rFont val="Arial"/>
        <family val="2"/>
      </rPr>
      <t xml:space="preserve">
</t>
    </r>
    <r>
      <rPr>
        <b/>
        <sz val="12"/>
        <rFont val="Arial"/>
        <family val="2"/>
      </rPr>
      <t>2. Process Specifications</t>
    </r>
  </si>
  <si>
    <t>1.- Product Datasheet and Raw material specifications: all mandatory fields are filled in and document is reviewed by RD Manager
2.- Process Specifications: all process steps in flow chart are included and full requirements of process are defined (controls, manufacturing parameters, technology to be used, cycle time and others)</t>
  </si>
  <si>
    <t>1.- Product design engineer
2.- Process design Engineer</t>
  </si>
  <si>
    <t xml:space="preserve"> R&amp;D Director</t>
  </si>
  <si>
    <t>KAM/ Engineering Manager / Project Manager / R&amp;D Director / Corporate Quality System</t>
  </si>
  <si>
    <t>2.8</t>
  </si>
  <si>
    <t>Preliminary Control Plan</t>
  </si>
  <si>
    <t xml:space="preserve">Control Plan  </t>
  </si>
  <si>
    <t>1.- Control plan: all process steps, product and process characteristics are covered 
2.- Control plan is reviewed by Corporate Quality Engineer, Engineering Manager and RD Manager</t>
  </si>
  <si>
    <t>Corporate Quality Engineer</t>
  </si>
  <si>
    <t>Process design engineer / Industrial engineer</t>
  </si>
  <si>
    <t>R&amp;D Manager / Engineering Manager</t>
  </si>
  <si>
    <t>Plant Quality Manager / Production Manager / Engineering Manager / R&amp;D Manager</t>
  </si>
  <si>
    <t>2.9</t>
  </si>
  <si>
    <t>Preliminary Work Instruction</t>
  </si>
  <si>
    <t>Samples WI (B)</t>
  </si>
  <si>
    <t>1.- All materials of BOM and process steps inside PDCC/Design Concept are included. Visuals are provided with pictures of real parts.
2.- Quality criteria and process parameters for each step and technology to be used is defined
3.- Reviewed by RD Supervisor/Manager</t>
  </si>
  <si>
    <t>Process Design Engineer</t>
  </si>
  <si>
    <t>Industrial Engineer / Manufacturing Engineer</t>
  </si>
  <si>
    <t xml:space="preserve">Prototype Engineer </t>
  </si>
  <si>
    <t>Prototype Engineer / Sample Leader / Project Quality Inspector</t>
  </si>
  <si>
    <t>2.10</t>
  </si>
  <si>
    <t xml:space="preserve">Qualification Test Plan (QTP) </t>
  </si>
  <si>
    <t xml:space="preserve">Qualification Test Plan </t>
  </si>
  <si>
    <t>1.- All tests compliant to AECQ-200 and specific customer requirements are considered
2.- Timeline with quantities needed and planned dates for tests is available and can match planned schedule for the phase
3.- QTP plan is reviewed by Project Manager and QA Manager</t>
  </si>
  <si>
    <t>Project Quality</t>
  </si>
  <si>
    <t>QA Manager</t>
  </si>
  <si>
    <t>Product design Engineer / Category Design Leader</t>
  </si>
  <si>
    <t xml:space="preserve"> Customer / Project Manager</t>
  </si>
  <si>
    <t>Project Manager
Lab Engineer</t>
  </si>
  <si>
    <t>2.11</t>
  </si>
  <si>
    <r>
      <t xml:space="preserve">DV Bundle </t>
    </r>
    <r>
      <rPr>
        <b/>
        <sz val="20"/>
        <color rgb="FFFF3300"/>
        <rFont val="Montserrat"/>
      </rPr>
      <t>(*)</t>
    </r>
  </si>
  <si>
    <r>
      <rPr>
        <b/>
        <sz val="12"/>
        <rFont val="Arial"/>
        <family val="2"/>
      </rPr>
      <t>Close DV Bundle:</t>
    </r>
    <r>
      <rPr>
        <sz val="12"/>
        <rFont val="Arial"/>
        <family val="2"/>
      </rPr>
      <t xml:space="preserve">
1. Raw material inspection report (all sources)
2. Process DOE results (all sources - fix parameters)
3. Limit tolerance check (max, nom, min, for all sources)
4. QTP report (all sources - fix parameters)</t>
    </r>
  </si>
  <si>
    <t>1.- All mandatory fields are filled in
2.- Manufacturability assessment result is pass (process DOE)
3.- Limit tolerance is fixed for each RM
4.- QTP report result is passed for all tolerances of at least one source for each RM</t>
  </si>
  <si>
    <t xml:space="preserve">
1. IQC inspector
2. Prototype Engineer
3. Process Designer
4. Lab. Engineer</t>
  </si>
  <si>
    <t xml:space="preserve">
1. Project Quality Engineer
2. Process Design Engineer
3. R&amp;D Manager
4. Project Quality Engineer</t>
  </si>
  <si>
    <t>Corporate QMS / Corporate Quality Engineer / Category Design Leader</t>
  </si>
  <si>
    <t>R&amp;D Director / QA Director</t>
  </si>
  <si>
    <t>Project Manager
KAM</t>
  </si>
  <si>
    <t>2.12</t>
  </si>
  <si>
    <t>Product datasheet and process specifications</t>
  </si>
  <si>
    <r>
      <rPr>
        <b/>
        <sz val="12"/>
        <rFont val="Arial"/>
        <family val="2"/>
      </rPr>
      <t>1.- Product datasheet</t>
    </r>
    <r>
      <rPr>
        <sz val="12"/>
        <rFont val="Arial"/>
        <family val="2"/>
      </rPr>
      <t xml:space="preserve"> and </t>
    </r>
    <r>
      <rPr>
        <b/>
        <sz val="12"/>
        <rFont val="Arial"/>
        <family val="2"/>
      </rPr>
      <t>Raw material specifications</t>
    </r>
    <r>
      <rPr>
        <sz val="12"/>
        <rFont val="Arial"/>
        <family val="2"/>
      </rPr>
      <t xml:space="preserve">
</t>
    </r>
    <r>
      <rPr>
        <b/>
        <sz val="12"/>
        <rFont val="Arial"/>
        <family val="2"/>
      </rPr>
      <t>2.- BOM</t>
    </r>
    <r>
      <rPr>
        <sz val="12"/>
        <rFont val="Arial"/>
        <family val="2"/>
      </rPr>
      <t xml:space="preserve"> and </t>
    </r>
    <r>
      <rPr>
        <b/>
        <sz val="12"/>
        <rFont val="Arial"/>
        <family val="2"/>
      </rPr>
      <t>Packaging Agreement</t>
    </r>
    <r>
      <rPr>
        <sz val="12"/>
        <rFont val="Arial"/>
        <family val="2"/>
      </rPr>
      <t xml:space="preserve">
</t>
    </r>
    <r>
      <rPr>
        <b/>
        <sz val="12"/>
        <rFont val="Arial"/>
        <family val="2"/>
      </rPr>
      <t xml:space="preserve">3.- Process specifications </t>
    </r>
  </si>
  <si>
    <t>1.- Product Datasheet and Raw material specifications: all mandatory fields are filled in and document is reviewed by RD Manager. Parameters should match with validated QTP results.
2.- BOM updated according with QTP results and Packaging agreed with customer
3.- Process Specifications: all process steps in flow chart are included and full requirements of process are defined (controls, manufacturing parameters, technology to be used, cycle time and others). Parameters should match with validated QTP results.</t>
  </si>
  <si>
    <t>1 &amp; 2.- Product design Engineer
3.- Process design Engineer</t>
  </si>
  <si>
    <t xml:space="preserve">Corporate QMS  </t>
  </si>
  <si>
    <t>2.13</t>
  </si>
  <si>
    <t xml:space="preserve">PFMEA </t>
  </si>
  <si>
    <t>PFMEA</t>
  </si>
  <si>
    <t>1.- PFMEA is including all process steps and product characteristics
2.- There is always action when RPN is higher than defined limit (100)
3.- PFMEA is reviewed by Functional Manager and CDL</t>
  </si>
  <si>
    <t>Engineering Manager/ Quailty Manager/ Production Manager / R&amp;D Manager / Project Manager</t>
  </si>
  <si>
    <t>2.14</t>
  </si>
  <si>
    <t>PDCC &amp; Profitability reviewed</t>
  </si>
  <si>
    <t>1.- All mandatory fields filled in 
2.- Reviewed by Functional Managers (Purchasing, RD)
3.- Reviewed by Corporate controlling for consistency
4.- CM matches RFQ PDCC and in case it doesn't, then there is an action plan approved by management</t>
  </si>
  <si>
    <t>R&amp;D Director / Purchasing Director / Plant Manager</t>
  </si>
  <si>
    <t>Corporate controller</t>
  </si>
  <si>
    <t>2.15</t>
  </si>
  <si>
    <r>
      <t xml:space="preserve">SOCO for Raw Material </t>
    </r>
    <r>
      <rPr>
        <b/>
        <sz val="20"/>
        <color rgb="FFFF3300"/>
        <rFont val="Montserrat"/>
      </rPr>
      <t>(*)</t>
    </r>
  </si>
  <si>
    <r>
      <rPr>
        <b/>
        <sz val="12"/>
        <rFont val="Arial"/>
        <family val="2"/>
      </rPr>
      <t>SOCO for Raw Material</t>
    </r>
    <r>
      <rPr>
        <sz val="12"/>
        <rFont val="Arial"/>
        <family val="2"/>
      </rPr>
      <t xml:space="preserve">
</t>
    </r>
  </si>
  <si>
    <t>1. Supplier is sourceable (already approved, no NBH or potential supplier audit passed)
2. Supplier Technical Feasibility Gate to be closed before nomination 
3. Samples delivered and test passed
4. RM APQP open in VEGA for all new parts
5. GTC and Suppplier Quality Agreement signed by all suppliers
6.- At least 3 quotes are presented and the quotation nominated is matching the target cost in PDCC
7.- Cost breakdown is available for presented quotes
8.- Detailed timeline is available and complies with project timing requirements</t>
  </si>
  <si>
    <t>Purchasing Officer</t>
  </si>
  <si>
    <t>Purchasing Manager</t>
  </si>
  <si>
    <t>Product design Engineer / SQE / Corporate controller</t>
  </si>
  <si>
    <t>Purchasing Director</t>
  </si>
  <si>
    <t>Project Quality Engineer / Project Manager</t>
  </si>
  <si>
    <t>2.16</t>
  </si>
  <si>
    <r>
      <t xml:space="preserve">SOCO for Machine &amp; Equipment (internal - no sourcing decision to supplier) </t>
    </r>
    <r>
      <rPr>
        <b/>
        <sz val="20"/>
        <color rgb="FFFF3300"/>
        <rFont val="Montserrat"/>
      </rPr>
      <t>(*)</t>
    </r>
  </si>
  <si>
    <t>SOCO for Machine &amp; Equipment (internal only - no sourcing decision to supplier)</t>
  </si>
  <si>
    <t>1. Supplier Technical Feasibility vs Process specification is passed
2.- At least 3 quotes are presented and the quotation nominated is matching the target CAPEX in PDCC
3.- Cost breakdown is available for presented quotes
4.- Detailed timeline is available and complies with project timing requirements</t>
  </si>
  <si>
    <t>Industrial Engineer</t>
  </si>
  <si>
    <t>Engineering Manager</t>
  </si>
  <si>
    <t>Process design Engineer / Corporate controller</t>
  </si>
  <si>
    <t>Operations Director / Plant Manager</t>
  </si>
  <si>
    <t xml:space="preserve"> Project Quality Engineer / Project Manager</t>
  </si>
  <si>
    <t>Corp RD Director</t>
  </si>
  <si>
    <r>
      <rPr>
        <b/>
        <u/>
        <sz val="16"/>
        <color theme="0"/>
        <rFont val="Montserrat"/>
      </rPr>
      <t>INDUSTRIALIZATION</t>
    </r>
    <r>
      <rPr>
        <b/>
        <sz val="16"/>
        <color theme="0"/>
        <rFont val="Montserrat"/>
      </rPr>
      <t xml:space="preserve">  - QUALITY GATE LEAD: PLANT MANAGER</t>
    </r>
  </si>
  <si>
    <t>Industrialization</t>
  </si>
  <si>
    <t>3.1</t>
  </si>
  <si>
    <t>Launch the investment</t>
  </si>
  <si>
    <r>
      <rPr>
        <b/>
        <sz val="12"/>
        <rFont val="Arial"/>
        <family val="2"/>
      </rPr>
      <t>1.- CAPEX Ctte Submission</t>
    </r>
    <r>
      <rPr>
        <sz val="12"/>
        <rFont val="Arial"/>
        <family val="2"/>
      </rPr>
      <t xml:space="preserve">
2.- Investment system release</t>
    </r>
  </si>
  <si>
    <t>1.- Plant Manager
2.- Project Manager</t>
  </si>
  <si>
    <t>Quality Director / Purchasing Director / Operations Director</t>
  </si>
  <si>
    <t>Purchasing Manager / Quality Manager / Engineering Manager / Plant Finance Manager</t>
  </si>
  <si>
    <t>3.2</t>
  </si>
  <si>
    <t>Definitve Production Layout</t>
  </si>
  <si>
    <t>Full Operating Layout</t>
  </si>
  <si>
    <t>1.- All machines, equipments and accessories of the line are depicted in the production layout and consistent with the process flow chart.
2.- All material movements are depicted in the layout and consistent with the process flow chart.
3.- All direct employees operating the line are depicted in the layout and consistent with the process flow chart.
4.- Full Operating Layout is reviewed by Plant Manager</t>
  </si>
  <si>
    <t>Facilities Manager</t>
  </si>
  <si>
    <t>Facilities Mgr. / Production Mgr. / HSE Supervisor</t>
  </si>
  <si>
    <t>3.3</t>
  </si>
  <si>
    <t>Equipment installation</t>
  </si>
  <si>
    <t>1.- FAT Report
2.- Installation checklist</t>
  </si>
  <si>
    <t>1.- FAT Report: all mandatory fields are filled in (machinery construction and assembly is fully completed and all functions implemented) and reviewed by Engineering Manager
2.- Installation checklist: all mandatory fields are filled in (neumatics, electricity, oil and other installations completed successfully) and reviewed by Facility/Engineering Manager</t>
  </si>
  <si>
    <t>1.- Industrial Engineer
2.- Maintenance Engineer</t>
  </si>
  <si>
    <t>Facilities Manager/ Maintenance Mgr. / Supply Chain Mgr.</t>
  </si>
  <si>
    <t xml:space="preserve">Plant Manager </t>
  </si>
  <si>
    <t>3.4</t>
  </si>
  <si>
    <t xml:space="preserve">Raw Material approved (PPAP) &amp; Capacity Verification (Run@Rate) </t>
  </si>
  <si>
    <r>
      <rPr>
        <b/>
        <sz val="12"/>
        <rFont val="Arial"/>
        <family val="2"/>
      </rPr>
      <t>RM PPAP approved (all suppliers)</t>
    </r>
    <r>
      <rPr>
        <sz val="12"/>
        <rFont val="Arial"/>
        <family val="2"/>
      </rPr>
      <t xml:space="preserve">
</t>
    </r>
  </si>
  <si>
    <t>1.- Run and Rate's score is passed vs PDCC requested capacity
2.- QTP in DV passed for the material (DV Bundle)
3.- Control plan from supplier is audited and approved by Premo
4.- Supplier datasheet matching with Premo RM Specification and reviewed and approved by Premo</t>
  </si>
  <si>
    <t>Supply Chain Manager / Engineering Manager / R&amp;D Manager</t>
  </si>
  <si>
    <t>SQE</t>
  </si>
  <si>
    <t>Supply Chain Manager / QA Manager / Corporate Quality Systems / Project Manager / Purchasing Manager</t>
  </si>
  <si>
    <t>3.5</t>
  </si>
  <si>
    <t>Material Reception &amp; Delivery</t>
  </si>
  <si>
    <r>
      <rPr>
        <b/>
        <sz val="12"/>
        <rFont val="Arial"/>
        <family val="2"/>
      </rPr>
      <t>1. WI for Packaging (FGs in pallets) / shipment preparation (Family)</t>
    </r>
    <r>
      <rPr>
        <sz val="12"/>
        <rFont val="Arial"/>
        <family val="2"/>
      </rPr>
      <t xml:space="preserve">
</t>
    </r>
    <r>
      <rPr>
        <b/>
        <sz val="12"/>
        <rFont val="Arial"/>
        <family val="2"/>
      </rPr>
      <t>2. WI for Storage (Family)</t>
    </r>
    <r>
      <rPr>
        <sz val="12"/>
        <rFont val="Arial"/>
        <family val="2"/>
      </rPr>
      <t xml:space="preserve">
</t>
    </r>
    <r>
      <rPr>
        <b/>
        <sz val="12"/>
        <rFont val="Arial"/>
        <family val="2"/>
      </rPr>
      <t>3. WI for Incoming Inspection</t>
    </r>
    <r>
      <rPr>
        <sz val="12"/>
        <rFont val="Arial"/>
        <family val="2"/>
      </rPr>
      <t xml:space="preserve">
4. Tools for incoming inspection</t>
    </r>
  </si>
  <si>
    <t>1.- WI for Packaging: Family WI is updated and reviewed by Supply Chain Manager
2.- WI for Storage: Family WI is updated and reviewed by Supply Chain Manager
3.- WI for Incoming Inspection: all special characteristics in RM Specification are mentioned and controlled with proper equipment and reviewed by QA Manager</t>
  </si>
  <si>
    <t>1. Warehouse Supervisor
2. Warehouse Supervisor
3. Project Quality Inspector
4. Industrial Engineer</t>
  </si>
  <si>
    <t>1. Supply Chain Manager
2. Supply Chain Manager
3 &amp;4.  Project Quality Engineer</t>
  </si>
  <si>
    <t>Purchasing Officer / Product design Engineer</t>
  </si>
  <si>
    <t>1, 2 &amp; 4.- Quality Control Engineer
3. SQE / IQC inspector</t>
  </si>
  <si>
    <t>Production Manager
Supply Chain Manager
Engineering Manager
QA Manager</t>
  </si>
  <si>
    <t>3.6</t>
  </si>
  <si>
    <t>IQ (Installation Qualification)</t>
  </si>
  <si>
    <t xml:space="preserve">IQ Bundle
</t>
  </si>
  <si>
    <t>1.- Pre-installation verification: overall inspection without damages/abnormalities, no missing components
2.- Installation verification: power on/off, basic setup check, components/equipments status
3.- Functional verification: all features present and working, worst case check</t>
  </si>
  <si>
    <t>Process Design Engineer / Maintenance Engineer</t>
  </si>
  <si>
    <t>Plant Manager / Finance Manager</t>
  </si>
  <si>
    <t>Production Manager
QA Manager</t>
  </si>
  <si>
    <t>3.7</t>
  </si>
  <si>
    <t>OQ (Operation Qualification)</t>
  </si>
  <si>
    <r>
      <rPr>
        <b/>
        <sz val="12"/>
        <rFont val="Arial"/>
        <family val="2"/>
      </rPr>
      <t>OQ Bundle:</t>
    </r>
    <r>
      <rPr>
        <sz val="12"/>
        <rFont val="Arial"/>
        <family val="2"/>
      </rPr>
      <t xml:space="preserve">
1. Setup Work Instructions &amp; records
2. Spare part list
3. Preventive Maintenance Plan and WI
4. Machine R@R </t>
    </r>
  </si>
  <si>
    <t>1.- Setup Work Instructions &amp; records: all steps to setup the machine are mentioned and well documented and reviewed by Maintenance Manager
2.- Spare part list: all needed spare parts are listed and reviewed by Maintenance Manager
3.- Preventive Maintenance Plan and WI: all items that are needed are mentioned and reviewed with Maintenance Manager
4.- Machine R@R: result of OEE pass versus defined PDCC target and reviewed by Engineering Manager</t>
  </si>
  <si>
    <t xml:space="preserve">1, 2, 3. Maintenance Engineer
4. Industrial Engineer </t>
  </si>
  <si>
    <t>Plant Manager / Maintenance Manager</t>
  </si>
  <si>
    <t>R&amp;D Manager 
Project Quality Engineer
QA Manager
Production Manager</t>
  </si>
  <si>
    <t>3.8</t>
  </si>
  <si>
    <t>PQ (Performance Qualification)</t>
  </si>
  <si>
    <r>
      <rPr>
        <b/>
        <sz val="12"/>
        <rFont val="Arial"/>
        <family val="2"/>
      </rPr>
      <t xml:space="preserve">PQ Bundle:
</t>
    </r>
    <r>
      <rPr>
        <sz val="12"/>
        <rFont val="Arial"/>
        <family val="2"/>
      </rPr>
      <t xml:space="preserve">1.- Machine setup and DOE
2. MSA (all stations GO/NG, fixed process parameters)
3. Gage R&amp;R (all manufacturing processes and test processes with numerical result, fixed process parameters)
</t>
    </r>
  </si>
  <si>
    <t>1.- MSA (all stations GO/NG, fixed process parameters): result is pass.
2.- Gage R&amp;R (all manufacturing processes and test processes with numerical result, fixed process parameters): result is pass.</t>
  </si>
  <si>
    <t xml:space="preserve">1. Industrial Engineer
2, 3. Project Quality Engineer
</t>
  </si>
  <si>
    <t>Manufacturing Engineer / Quality Control Engineer</t>
  </si>
  <si>
    <t>Plant Manager / QA Manager</t>
  </si>
  <si>
    <t>Productoin Manager
QA Manager
Maintenance Manager</t>
  </si>
  <si>
    <t>3.9</t>
  </si>
  <si>
    <t>Definitive Process Documentation</t>
  </si>
  <si>
    <r>
      <rPr>
        <b/>
        <sz val="12"/>
        <rFont val="Arial"/>
        <family val="2"/>
      </rPr>
      <t>1. PFMEA</t>
    </r>
    <r>
      <rPr>
        <sz val="12"/>
        <rFont val="Arial"/>
        <family val="2"/>
      </rPr>
      <t xml:space="preserve">
</t>
    </r>
    <r>
      <rPr>
        <b/>
        <sz val="12"/>
        <rFont val="Arial"/>
        <family val="2"/>
      </rPr>
      <t xml:space="preserve">2. Control Plan </t>
    </r>
    <r>
      <rPr>
        <sz val="12"/>
        <rFont val="Arial"/>
        <family val="2"/>
      </rPr>
      <t xml:space="preserve">
</t>
    </r>
  </si>
  <si>
    <t xml:space="preserve">1.- PFMEA is including all process steps and product characteristics
2.- There is always action when RPN is higher than defined limit (100)
3.- PFMEA is reviewed by Functional Manager and CDL
4.- Control plan: all process steps, product and process characteristics are covered 
5.- Control plan is reviewed by Quality Manager, Engineering Manager and Production Manager
</t>
  </si>
  <si>
    <t>1. Industrial Engineer
2. Project Quality Engineer</t>
  </si>
  <si>
    <t>1. Project Quality Engineer
2. Quality Control Engineer</t>
  </si>
  <si>
    <t>Corporate Quality Systems / Process Design Engineer / Manufacturing Engineer / Maintenance Engineer</t>
  </si>
  <si>
    <t>Production Manager 
QA Manager
Engineering Manager
Maintenance Manager</t>
  </si>
  <si>
    <t>3.10</t>
  </si>
  <si>
    <t>Wis and Training</t>
  </si>
  <si>
    <r>
      <rPr>
        <b/>
        <sz val="12"/>
        <rFont val="Arial"/>
        <family val="2"/>
      </rPr>
      <t xml:space="preserve">1. Manufacturing Work Instructions </t>
    </r>
    <r>
      <rPr>
        <sz val="12"/>
        <rFont val="Arial"/>
        <family val="2"/>
      </rPr>
      <t xml:space="preserve">
</t>
    </r>
    <r>
      <rPr>
        <b/>
        <sz val="12"/>
        <rFont val="Arial"/>
        <family val="2"/>
      </rPr>
      <t>2. Training Plan and Training Matrix (Production / Quality)</t>
    </r>
  </si>
  <si>
    <t>1.- All materials of BOM and process steps inside PDCC/Design Concept are included. Visuals are provided with pictures of real parts.
2.- Quality criteria and process parameters for each step and technology to be used is defined. Visuals of NG and Good parts are clearly defined with pictures of real parts.
3.- The set of toolings and parameters to operate each station is clearly defined and aligned with control plan, stablishing a 6S standard for compliance
4.- The sequence of operation in each station of the process is defined in detail and with supportive pictures to let operator understand (specially in manual stations)
5.- Reviewed by Production Manager</t>
  </si>
  <si>
    <t>1. Manufacturing Engineer
2. Production Supervisor / Quality Control Engineer</t>
  </si>
  <si>
    <t>1. Production Manager
2. Production Manager / QA Manager</t>
  </si>
  <si>
    <t>1. Industrial Engineer / Sample Leader  
2. HSE Supervisor / HR Supervisor</t>
  </si>
  <si>
    <t>1. Production Supervisor  
2. Quality Supervisor</t>
  </si>
  <si>
    <t xml:space="preserve">QA Manager / Engineering Manager / HR Manager </t>
  </si>
  <si>
    <t>3.11</t>
  </si>
  <si>
    <r>
      <t xml:space="preserve">Line Release Audit - Including New Equipment, Tooling, and Test Equipment Release </t>
    </r>
    <r>
      <rPr>
        <b/>
        <sz val="20"/>
        <color rgb="FFFF3300"/>
        <rFont val="Montserrat"/>
      </rPr>
      <t>(*)</t>
    </r>
  </si>
  <si>
    <r>
      <rPr>
        <b/>
        <sz val="12"/>
        <rFont val="Arial"/>
        <family val="2"/>
      </rPr>
      <t xml:space="preserve">Line Release Report:
</t>
    </r>
    <r>
      <rPr>
        <sz val="12"/>
        <rFont val="Arial"/>
        <family val="2"/>
      </rPr>
      <t>1. Run @ Rate
2. Process Audit (VDA 6.3)
3. Closing Meeting (Line Release Report should be available)
4. Action plan approval and launch (2 weeks max timing)</t>
    </r>
  </si>
  <si>
    <t>1.- Run &amp; Rate result is pass
2.- Process Audit result is pass
3.- Line Release Report is signed by Plant Manager and agreed by all Functional managers in the plant</t>
  </si>
  <si>
    <t>1. Industrial Engineer / Manufacturing Engineer
2. Project Quality Engineer
3. QA Manager
4. Engineering Manager</t>
  </si>
  <si>
    <t>1. Engineering Manager / Production Manager
2. QA Manager
3 &amp; 4. Project Manager</t>
  </si>
  <si>
    <t>Corporate QMS / Quality System Engineer</t>
  </si>
  <si>
    <t>Plant Manager / Quality Director</t>
  </si>
  <si>
    <t>Supply Chain Manager
Production Manager
Maintenance Manager
Corporate Controller
Plant Finance Manager
Plant Manager
Quality Director
BU Director</t>
  </si>
  <si>
    <t>3.12</t>
  </si>
  <si>
    <t>QTP batch manufacturing with full conditions</t>
  </si>
  <si>
    <r>
      <t xml:space="preserve">1. QTP batch manufacturing
2. QTP test
</t>
    </r>
    <r>
      <rPr>
        <b/>
        <sz val="12"/>
        <rFont val="Arial"/>
        <family val="2"/>
      </rPr>
      <t>3. QTP Report</t>
    </r>
  </si>
  <si>
    <t>1.- QTP Report result is pass
2.- QTP Report is containing all test results from the tests highlighted in QTP plan
3.- QTP Report contains pictures and measurements of the real parts for each test and the parts are physically available for inspection if requested</t>
  </si>
  <si>
    <t xml:space="preserve">
1. Industrial Engineer
2 &amp; 3. Lab. Engineer
</t>
  </si>
  <si>
    <t xml:space="preserve">
Project Quality Engineer</t>
  </si>
  <si>
    <t>QA Manager 
Corporate Quality Systems
Project Manager</t>
  </si>
  <si>
    <t>Key Account Manager
R&amp;D Manager &amp; Director
Maintenance Manager
Plant Manager
QA Director
Project Manager</t>
  </si>
  <si>
    <t>3.13</t>
  </si>
  <si>
    <t xml:space="preserve">FMEA and Control Plan final review and release </t>
  </si>
  <si>
    <r>
      <t xml:space="preserve">
</t>
    </r>
    <r>
      <rPr>
        <b/>
        <sz val="12"/>
        <rFont val="Arial"/>
        <family val="2"/>
      </rPr>
      <t>1. PFMEA
2. Control Plan</t>
    </r>
  </si>
  <si>
    <t>1.- PFMEA is including all process steps and product characteristics
2.- There is always action when RPN is higher than defined limit (100)
3.- PFMEA is reviewed by Functional Manager and CDL
4.- Control plan: all process steps, product and process characteristics are covered 
5.- Control plan is reviewed by Quality Manager, Engineering Manager and Production Manager</t>
  </si>
  <si>
    <t>1. Project Quality Engineer
2. Process Quality Engineer</t>
  </si>
  <si>
    <t>3.14</t>
  </si>
  <si>
    <t>PDCC &amp; Profitability reviewed - Fix route and scrap</t>
  </si>
  <si>
    <t>3.15</t>
  </si>
  <si>
    <r>
      <t xml:space="preserve">PPAP Approval (PSW Signed) - Received &amp; Reviewed </t>
    </r>
    <r>
      <rPr>
        <b/>
        <sz val="20"/>
        <color rgb="FFFF3300"/>
        <rFont val="Montserrat"/>
      </rPr>
      <t>(*)</t>
    </r>
  </si>
  <si>
    <t>PPAP</t>
  </si>
  <si>
    <t>1.- PPAP is approved by customer
2.- PPAP is reviewed by all Functional Managers
3.- PPAP is signed by Plant Manager/QA Director</t>
  </si>
  <si>
    <t>Engineering Manager / Corporate Quality Systems
/ Project Manager</t>
  </si>
  <si>
    <t>Key Account Manager
Engineering Manager
Production Manager
Quality Manager
Supply Chain Manager
Maintenance Manager
Quality Director</t>
  </si>
  <si>
    <t>4</t>
  </si>
  <si>
    <r>
      <rPr>
        <b/>
        <u/>
        <sz val="16"/>
        <color theme="0"/>
        <rFont val="Montserrat"/>
      </rPr>
      <t>SOP + 6 MONTHS</t>
    </r>
    <r>
      <rPr>
        <b/>
        <sz val="16"/>
        <color theme="0"/>
        <rFont val="Montserrat"/>
      </rPr>
      <t xml:space="preserve"> - QUALITY GATE LEAD: PROJECT MANAGER</t>
    </r>
  </si>
  <si>
    <t>SOP + 6 Months</t>
  </si>
  <si>
    <t>4.1</t>
  </si>
  <si>
    <r>
      <t xml:space="preserve">Quality Review </t>
    </r>
    <r>
      <rPr>
        <b/>
        <sz val="20"/>
        <color rgb="FFFF3300"/>
        <rFont val="Montserrat"/>
      </rPr>
      <t>(*)</t>
    </r>
    <r>
      <rPr>
        <sz val="12"/>
        <rFont val="Montserrat"/>
      </rPr>
      <t xml:space="preserve">
</t>
    </r>
  </si>
  <si>
    <r>
      <rPr>
        <b/>
        <sz val="12"/>
        <rFont val="Arial"/>
        <family val="2"/>
      </rPr>
      <t>SOP Review format</t>
    </r>
    <r>
      <rPr>
        <sz val="12"/>
        <rFont val="Arial"/>
        <family val="2"/>
      </rPr>
      <t xml:space="preserve"> (Int/Ext Claims, Safe launch/Quality walls, Achievement vs LON, Deliveries vs orders, Actual profitability vs PDCC)
</t>
    </r>
  </si>
  <si>
    <t>1.- No claims in 6 months after project start or in a period of 6 months from last claim received
2.- Achievement matches with LON and deliveries are done according to orders without delay
3.- CM in PDCC matches CM in RFQ PDCC</t>
  </si>
  <si>
    <t xml:space="preserve">1.- Quality Control Engineer
/ Customer Quality Engineer
</t>
  </si>
  <si>
    <t xml:space="preserve">1.- QA Manager
</t>
  </si>
  <si>
    <t xml:space="preserve">1.- Quality Director / Plant Manager
</t>
  </si>
  <si>
    <t xml:space="preserve">CEO/CFO
</t>
  </si>
  <si>
    <t>Corporate controller
Plant controller
Project Manager
Plant Manager
Quality Director</t>
  </si>
  <si>
    <t>4.2</t>
  </si>
  <si>
    <r>
      <t>Commercial Review</t>
    </r>
    <r>
      <rPr>
        <sz val="20"/>
        <color rgb="FFFF3300"/>
        <rFont val="Montserrat"/>
      </rPr>
      <t xml:space="preserve"> </t>
    </r>
    <r>
      <rPr>
        <b/>
        <sz val="20"/>
        <color rgb="FFFF3300"/>
        <rFont val="Montserrat"/>
      </rPr>
      <t>(*)</t>
    </r>
  </si>
  <si>
    <t xml:space="preserve">
2. Key Account Manager / Production Supervisor</t>
  </si>
  <si>
    <t xml:space="preserve">
2.- BU Director / Production Manager</t>
  </si>
  <si>
    <t xml:space="preserve">
2.- Project Manager /
Plant Manager /
Supply Chain Manager</t>
  </si>
  <si>
    <t>Plant Manager
Project Manager
Plant Finance Manager
Plant controller
Corporate controller
BU Director 
Purchasing Director</t>
  </si>
  <si>
    <t>4.3</t>
  </si>
  <si>
    <r>
      <t xml:space="preserve">Profitability Review </t>
    </r>
    <r>
      <rPr>
        <b/>
        <sz val="20"/>
        <color rgb="FFFF3300"/>
        <rFont val="Montserrat"/>
      </rPr>
      <t>(*)</t>
    </r>
  </si>
  <si>
    <t>Plant controller</t>
  </si>
  <si>
    <t>3.- Plant Manager</t>
  </si>
  <si>
    <t>Plant Manager
Plant Finance Manager
Corporate Controller
BU Director 
Purchasing Director</t>
  </si>
  <si>
    <r>
      <rPr>
        <b/>
        <u/>
        <sz val="16"/>
        <color theme="1"/>
        <rFont val="Arial"/>
        <family val="2"/>
      </rPr>
      <t>GATES RASIC CHART</t>
    </r>
    <r>
      <rPr>
        <b/>
        <sz val="16"/>
        <color theme="1"/>
        <rFont val="Arial"/>
        <family val="2"/>
      </rPr>
      <t xml:space="preserve">
</t>
    </r>
    <r>
      <rPr>
        <b/>
        <sz val="20"/>
        <color rgb="FFFF0000"/>
        <rFont val="Arial"/>
        <family val="2"/>
      </rPr>
      <t>R</t>
    </r>
    <r>
      <rPr>
        <b/>
        <sz val="16"/>
        <color theme="1"/>
        <rFont val="Arial"/>
        <family val="2"/>
      </rPr>
      <t xml:space="preserve">ESPONSIBLE
</t>
    </r>
    <r>
      <rPr>
        <b/>
        <sz val="20"/>
        <color rgb="FFFF0000"/>
        <rFont val="Arial"/>
        <family val="2"/>
      </rPr>
      <t>A</t>
    </r>
    <r>
      <rPr>
        <b/>
        <sz val="16"/>
        <color theme="1"/>
        <rFont val="Arial"/>
        <family val="2"/>
      </rPr>
      <t xml:space="preserve">CCOUNTABLE
</t>
    </r>
    <r>
      <rPr>
        <b/>
        <sz val="16"/>
        <color rgb="FFFF3300"/>
        <rFont val="Arial"/>
        <family val="2"/>
      </rPr>
      <t>S</t>
    </r>
    <r>
      <rPr>
        <b/>
        <sz val="16"/>
        <color theme="1"/>
        <rFont val="Arial"/>
        <family val="2"/>
      </rPr>
      <t xml:space="preserve">UPPORTING
</t>
    </r>
    <r>
      <rPr>
        <b/>
        <sz val="16"/>
        <color rgb="FFFF0000"/>
        <rFont val="Arial"/>
        <family val="2"/>
      </rPr>
      <t>I</t>
    </r>
    <r>
      <rPr>
        <b/>
        <sz val="16"/>
        <color theme="1"/>
        <rFont val="Arial"/>
        <family val="2"/>
      </rPr>
      <t xml:space="preserve">NFORMED
</t>
    </r>
    <r>
      <rPr>
        <b/>
        <sz val="20"/>
        <color rgb="FFFF0000"/>
        <rFont val="Arial"/>
        <family val="2"/>
      </rPr>
      <t>C</t>
    </r>
    <r>
      <rPr>
        <b/>
        <sz val="16"/>
        <color theme="1"/>
        <rFont val="Arial"/>
        <family val="2"/>
      </rPr>
      <t xml:space="preserve">ONSULTED
</t>
    </r>
  </si>
  <si>
    <r>
      <rPr>
        <b/>
        <u/>
        <sz val="18"/>
        <color theme="0"/>
        <rFont val="Arial"/>
        <family val="2"/>
      </rPr>
      <t>FEASIBILITY FOR OPPORTUNITIES</t>
    </r>
    <r>
      <rPr>
        <b/>
        <sz val="18"/>
        <color theme="0"/>
        <rFont val="Arial"/>
        <family val="2"/>
      </rPr>
      <t xml:space="preserve"> - PHASE LEAD: BU DIRECTOR</t>
    </r>
  </si>
  <si>
    <t>Project Committee Acceptance</t>
  </si>
  <si>
    <r>
      <t xml:space="preserve">Feasibility bundle </t>
    </r>
    <r>
      <rPr>
        <b/>
        <sz val="20"/>
        <color rgb="FFFF3300"/>
        <rFont val="Arial"/>
        <family val="2"/>
      </rPr>
      <t>(*)</t>
    </r>
  </si>
  <si>
    <r>
      <t xml:space="preserve">Customer Agreement - LON </t>
    </r>
    <r>
      <rPr>
        <b/>
        <sz val="20"/>
        <color rgb="FFFF3300"/>
        <rFont val="Arial"/>
        <family val="2"/>
      </rPr>
      <t>(*)</t>
    </r>
  </si>
  <si>
    <r>
      <rPr>
        <b/>
        <u/>
        <sz val="18"/>
        <color theme="0"/>
        <rFont val="Arial"/>
        <family val="2"/>
      </rPr>
      <t>DESIGN VALIDATION</t>
    </r>
    <r>
      <rPr>
        <b/>
        <sz val="18"/>
        <color theme="0"/>
        <rFont val="Arial"/>
        <family val="2"/>
      </rPr>
      <t xml:space="preserve"> - PHASE LEAD: CORP. RD DIRECTOR</t>
    </r>
  </si>
  <si>
    <t xml:space="preserve">Product &amp; Process Technical Definition: 
</t>
  </si>
  <si>
    <t>KAM/ Engineering Manager / Project Manager / R&amp;D Director / Corporate QMS</t>
  </si>
  <si>
    <r>
      <t xml:space="preserve">DV Bundle </t>
    </r>
    <r>
      <rPr>
        <b/>
        <sz val="20"/>
        <color rgb="FFFF3300"/>
        <rFont val="Arial"/>
        <family val="2"/>
      </rPr>
      <t>(*)</t>
    </r>
    <r>
      <rPr>
        <sz val="12"/>
        <rFont val="Arial"/>
        <family val="2"/>
      </rPr>
      <t xml:space="preserve">
</t>
    </r>
  </si>
  <si>
    <t xml:space="preserve">
1. Lab. Engineer / IQC inspector
2. Prototype Engineer
3. Process Designer
4. Lab. Engineer</t>
  </si>
  <si>
    <t>Project Manager
Key Account Manager</t>
  </si>
  <si>
    <r>
      <t xml:space="preserve">SOCO for Raw Material </t>
    </r>
    <r>
      <rPr>
        <b/>
        <sz val="20"/>
        <color rgb="FFFF3300"/>
        <rFont val="Arial"/>
        <family val="2"/>
      </rPr>
      <t>(*)</t>
    </r>
  </si>
  <si>
    <t>Product design Engineer / Supplier Quality Engineer / Corporate controller</t>
  </si>
  <si>
    <r>
      <t xml:space="preserve">SOCO for Machine &amp; Equipment (internal - no sourcing decision to supplier) </t>
    </r>
    <r>
      <rPr>
        <b/>
        <sz val="20"/>
        <color rgb="FFFF3300"/>
        <rFont val="Arial"/>
        <family val="2"/>
      </rPr>
      <t>(*)</t>
    </r>
  </si>
  <si>
    <t>Corp. RD Director</t>
  </si>
  <si>
    <r>
      <rPr>
        <b/>
        <u/>
        <sz val="18"/>
        <color theme="0"/>
        <rFont val="Arial"/>
        <family val="2"/>
      </rPr>
      <t>INDUSTRIALIZATION</t>
    </r>
    <r>
      <rPr>
        <b/>
        <sz val="18"/>
        <color theme="0"/>
        <rFont val="Arial"/>
        <family val="2"/>
      </rPr>
      <t xml:space="preserve">  - PHASE LEAD: PLANT MANAGER</t>
    </r>
  </si>
  <si>
    <t>Facilities Manager / Production Manager / HSE Supervisor</t>
  </si>
  <si>
    <t>Facilities Manager/ Maintenance Manager / Supply Chain Manager</t>
  </si>
  <si>
    <t>Supplier Quality Engineer</t>
  </si>
  <si>
    <t xml:space="preserve">Material Reception &amp; Delivery
</t>
  </si>
  <si>
    <t xml:space="preserve">OQ (Operation Qualification)
</t>
  </si>
  <si>
    <t xml:space="preserve">PQ (Performance Qualification)
</t>
  </si>
  <si>
    <r>
      <rPr>
        <b/>
        <sz val="12"/>
        <rFont val="Arial"/>
        <family val="2"/>
      </rPr>
      <t xml:space="preserve">PQ Bundle:
</t>
    </r>
    <r>
      <rPr>
        <sz val="12"/>
        <rFont val="Arial"/>
        <family val="2"/>
      </rPr>
      <t xml:space="preserve">1.- Machine setup and DOE
2. MSA (all stations GO/NG, fixed process parameters)
3. Gage R&amp;R (all manufacturing processes and test processes with numerical result, fixed process parameters)
</t>
    </r>
  </si>
  <si>
    <t>Production Manager
QA Manager
Maintenance Manager</t>
  </si>
  <si>
    <t xml:space="preserve">Definitive Process Documentation 
</t>
  </si>
  <si>
    <t>Corporate Quality Systems / Process design Engineer / Manufacturing Engineer / Maintenance Engineer</t>
  </si>
  <si>
    <t xml:space="preserve">Wis and Training 
</t>
  </si>
  <si>
    <t>1. Industrial Engineer  
2. HSE Supervisor / HR Supervisor</t>
  </si>
  <si>
    <r>
      <t xml:space="preserve">Line Release Audit - Including New Equipment, Tooling, and Test Equipment Release </t>
    </r>
    <r>
      <rPr>
        <b/>
        <sz val="20"/>
        <color rgb="FFFF3300"/>
        <rFont val="Arial"/>
        <family val="2"/>
      </rPr>
      <t>(*)</t>
    </r>
    <r>
      <rPr>
        <sz val="12"/>
        <rFont val="Arial"/>
        <family val="2"/>
      </rPr>
      <t xml:space="preserve">
</t>
    </r>
  </si>
  <si>
    <t xml:space="preserve">QTP batch manufacturing with full conditions
</t>
  </si>
  <si>
    <t xml:space="preserve">PDCC &amp; Profitability reviewed - Fix route and scrap </t>
  </si>
  <si>
    <r>
      <t xml:space="preserve">PPAP Approval (PSW Signed) - Received &amp; Reviewed </t>
    </r>
    <r>
      <rPr>
        <b/>
        <sz val="20"/>
        <color rgb="FFFF3300"/>
        <rFont val="Arial"/>
        <family val="2"/>
      </rPr>
      <t>(*)</t>
    </r>
  </si>
  <si>
    <r>
      <rPr>
        <b/>
        <u/>
        <sz val="18"/>
        <color theme="0"/>
        <rFont val="Arial"/>
        <family val="2"/>
      </rPr>
      <t>SOP + 6 MONTHS</t>
    </r>
    <r>
      <rPr>
        <b/>
        <sz val="18"/>
        <color theme="0"/>
        <rFont val="Arial"/>
        <family val="2"/>
      </rPr>
      <t xml:space="preserve"> - PHASE LEAD: PROJECT MANAGER</t>
    </r>
  </si>
  <si>
    <r>
      <t xml:space="preserve">Quality Review </t>
    </r>
    <r>
      <rPr>
        <b/>
        <sz val="20"/>
        <color rgb="FFFF3300"/>
        <rFont val="Arial"/>
        <family val="2"/>
      </rPr>
      <t>(*)</t>
    </r>
    <r>
      <rPr>
        <sz val="12"/>
        <rFont val="Arial"/>
        <family val="2"/>
      </rPr>
      <t xml:space="preserve">
</t>
    </r>
  </si>
  <si>
    <t>1.- Quality Control Engineer
/ Customer Quality Engineer</t>
  </si>
  <si>
    <t>1.- QA Manager</t>
  </si>
  <si>
    <t>1.- Quality Director / Plant Manager</t>
  </si>
  <si>
    <r>
      <t>Commercial Review</t>
    </r>
    <r>
      <rPr>
        <sz val="20"/>
        <color rgb="FFFF3300"/>
        <rFont val="Arial"/>
        <family val="2"/>
      </rPr>
      <t xml:space="preserve"> </t>
    </r>
    <r>
      <rPr>
        <b/>
        <sz val="20"/>
        <color rgb="FFFF3300"/>
        <rFont val="Arial"/>
        <family val="2"/>
      </rPr>
      <t>(*)</t>
    </r>
    <r>
      <rPr>
        <sz val="12"/>
        <rFont val="Arial"/>
        <family val="2"/>
      </rPr>
      <t xml:space="preserve">
</t>
    </r>
  </si>
  <si>
    <r>
      <t xml:space="preserve">Profitability Review </t>
    </r>
    <r>
      <rPr>
        <b/>
        <sz val="20"/>
        <color rgb="FFFF3300"/>
        <rFont val="Arial"/>
        <family val="2"/>
      </rPr>
      <t>(*)</t>
    </r>
    <r>
      <rPr>
        <sz val="12"/>
        <rFont val="Arial"/>
        <family val="2"/>
      </rPr>
      <t xml:space="preserve">
</t>
    </r>
  </si>
  <si>
    <t>APQP Gate Release Checklist (APQP GRC)
FEASIBILITY FOR OPPORTUNITIES - PHASE LEAD: BU DIRECTOR</t>
  </si>
  <si>
    <t>Pending</t>
  </si>
  <si>
    <t>WIP</t>
  </si>
  <si>
    <t>Done</t>
  </si>
  <si>
    <t>Reviewed</t>
  </si>
  <si>
    <t>º</t>
  </si>
  <si>
    <t>#</t>
  </si>
  <si>
    <t>Gate</t>
  </si>
  <si>
    <t>Closed
 Date</t>
  </si>
  <si>
    <r>
      <rPr>
        <b/>
        <sz val="14"/>
        <color theme="1"/>
        <rFont val="Montserrat"/>
      </rPr>
      <t>CIR Form</t>
    </r>
    <r>
      <rPr>
        <sz val="14"/>
        <color theme="1"/>
        <rFont val="Montserrat"/>
      </rPr>
      <t xml:space="preserve"> (Technical/Commercial)</t>
    </r>
  </si>
  <si>
    <t>1.- All mandatory fields filled in 
2.- Reviewed by BU Director</t>
  </si>
  <si>
    <r>
      <rPr>
        <b/>
        <sz val="14"/>
        <color theme="1"/>
        <rFont val="Montserrat"/>
      </rPr>
      <t>1.- Project Cttee Acceptance Submission</t>
    </r>
    <r>
      <rPr>
        <sz val="14"/>
        <color theme="1"/>
        <rFont val="Montserrat"/>
      </rPr>
      <t xml:space="preserve">
2.- Gate 1 Release Team definition and design/samples/manuf center definition inside PCA submission</t>
    </r>
  </si>
  <si>
    <r>
      <rPr>
        <b/>
        <sz val="14"/>
        <color theme="1"/>
        <rFont val="Montserrat"/>
      </rPr>
      <t>DFMEA</t>
    </r>
    <r>
      <rPr>
        <sz val="14"/>
        <color theme="1"/>
        <rFont val="Montserrat"/>
      </rPr>
      <t xml:space="preserve"> and Lessons Learn up to date of the product family</t>
    </r>
  </si>
  <si>
    <r>
      <rPr>
        <b/>
        <sz val="14"/>
        <color theme="1"/>
        <rFont val="Montserrat"/>
      </rPr>
      <t>1. Design Concept</t>
    </r>
    <r>
      <rPr>
        <sz val="14"/>
        <color theme="1"/>
        <rFont val="Montserrat"/>
      </rPr>
      <t xml:space="preserve">
</t>
    </r>
    <r>
      <rPr>
        <b/>
        <sz val="14"/>
        <color theme="1"/>
        <rFont val="Montserrat"/>
      </rPr>
      <t>2. BOM &amp; Process Flowchart</t>
    </r>
    <r>
      <rPr>
        <sz val="14"/>
        <color theme="1"/>
        <rFont val="Montserrat"/>
      </rPr>
      <t xml:space="preserve"> (inside PDCC)
</t>
    </r>
    <r>
      <rPr>
        <b/>
        <sz val="14"/>
        <color theme="1"/>
        <rFont val="Montserrat"/>
      </rPr>
      <t>3. Preliminary Datasheet</t>
    </r>
  </si>
  <si>
    <r>
      <rPr>
        <b/>
        <sz val="14"/>
        <color theme="1"/>
        <rFont val="Montserrat"/>
      </rPr>
      <t>1. Sample Production Plan</t>
    </r>
    <r>
      <rPr>
        <sz val="14"/>
        <color theme="1"/>
        <rFont val="Montserrat"/>
      </rPr>
      <t xml:space="preserve">
</t>
    </r>
    <r>
      <rPr>
        <b/>
        <sz val="14"/>
        <color theme="1"/>
        <rFont val="Montserrat"/>
      </rPr>
      <t xml:space="preserve">2. SIR </t>
    </r>
  </si>
  <si>
    <r>
      <rPr>
        <b/>
        <sz val="14"/>
        <rFont val="Montserrat"/>
      </rPr>
      <t>Close Feasibility Bundle</t>
    </r>
    <r>
      <rPr>
        <sz val="14"/>
        <rFont val="Montserrat"/>
      </rPr>
      <t xml:space="preserve"> (project plan inside)</t>
    </r>
  </si>
  <si>
    <t>1.- Close Feasibility Bundle result is determined (OK/NG) based on timeline, pricing and technical feasibility by customer. Includes Logistics Protocol.
2.- Close Feasibility Bundle is reviewed by senior management team (RD Director/QA Director/Plant Manager/Purchasing Director)</t>
  </si>
  <si>
    <r>
      <rPr>
        <b/>
        <sz val="14"/>
        <rFont val="Montserrat"/>
      </rPr>
      <t>1.- RFQ Cttee Submission
2.- LON</t>
    </r>
    <r>
      <rPr>
        <sz val="14"/>
        <rFont val="Montserrat"/>
      </rPr>
      <t xml:space="preserve"> </t>
    </r>
  </si>
  <si>
    <t>APQP Gate Release Checklist (APQP GRC)
DESIGN VALIDATION - PHASE LEAD: CORP RD DIRECTOR</t>
  </si>
  <si>
    <t>Closed Date</t>
  </si>
  <si>
    <r>
      <rPr>
        <b/>
        <sz val="14"/>
        <rFont val="Montserrat"/>
      </rPr>
      <t>PMP (Project Master Plan)</t>
    </r>
    <r>
      <rPr>
        <sz val="14"/>
        <rFont val="Montserrat"/>
      </rPr>
      <t>:
1. DV 
2. PV
3. QTP
4. Supplier validation
5. Customer milestones vs Premo milestones</t>
    </r>
  </si>
  <si>
    <r>
      <rPr>
        <b/>
        <sz val="14"/>
        <rFont val="Montserrat"/>
      </rPr>
      <t>1.- CAPEX Cttee Submission</t>
    </r>
    <r>
      <rPr>
        <sz val="14"/>
        <rFont val="Montserrat"/>
      </rPr>
      <t xml:space="preserve">
2.- Investment system release</t>
    </r>
  </si>
  <si>
    <r>
      <rPr>
        <b/>
        <sz val="14"/>
        <rFont val="Montserrat"/>
      </rPr>
      <t>1.- Design Concept</t>
    </r>
    <r>
      <rPr>
        <sz val="14"/>
        <rFont val="Montserrat"/>
      </rPr>
      <t xml:space="preserve">
2.- BOM (inside PDCC) 
3.- </t>
    </r>
    <r>
      <rPr>
        <b/>
        <sz val="14"/>
        <rFont val="Montserrat"/>
      </rPr>
      <t>Process Flowchart</t>
    </r>
    <r>
      <rPr>
        <sz val="14"/>
        <rFont val="Montserrat"/>
      </rPr>
      <t xml:space="preserve"> </t>
    </r>
  </si>
  <si>
    <r>
      <rPr>
        <b/>
        <sz val="14"/>
        <rFont val="Montserrat"/>
      </rPr>
      <t>1. Product Datasheet</t>
    </r>
    <r>
      <rPr>
        <sz val="14"/>
        <rFont val="Montserrat"/>
      </rPr>
      <t xml:space="preserve"> and </t>
    </r>
    <r>
      <rPr>
        <b/>
        <sz val="14"/>
        <rFont val="Montserrat"/>
      </rPr>
      <t>Raw material specifications</t>
    </r>
    <r>
      <rPr>
        <sz val="14"/>
        <rFont val="Montserrat"/>
      </rPr>
      <t xml:space="preserve">
</t>
    </r>
    <r>
      <rPr>
        <b/>
        <sz val="14"/>
        <rFont val="Montserrat"/>
      </rPr>
      <t>2. Process Specifications</t>
    </r>
  </si>
  <si>
    <r>
      <t xml:space="preserve">DV Bundle </t>
    </r>
    <r>
      <rPr>
        <b/>
        <sz val="20"/>
        <color rgb="FFFF3300"/>
        <rFont val="Montserrat"/>
      </rPr>
      <t>(*)</t>
    </r>
    <r>
      <rPr>
        <sz val="14"/>
        <rFont val="Montserrat"/>
      </rPr>
      <t xml:space="preserve">
</t>
    </r>
  </si>
  <si>
    <r>
      <rPr>
        <b/>
        <sz val="14"/>
        <color rgb="FF000000"/>
        <rFont val="Montserrat"/>
      </rPr>
      <t xml:space="preserve">Close DV Bundle:
</t>
    </r>
    <r>
      <rPr>
        <sz val="14"/>
        <color rgb="FF000000"/>
        <rFont val="Montserrat"/>
      </rPr>
      <t>1. Raw material inspection report (all sources)
2. Process DOE results (all sources - fix parameters)
3. Limit tolerance check (max, nom, min, for all sources)
4. QTP report (all sources - fix parameters)</t>
    </r>
  </si>
  <si>
    <r>
      <rPr>
        <b/>
        <sz val="14"/>
        <rFont val="Montserrat"/>
      </rPr>
      <t>1.- Product datasheet</t>
    </r>
    <r>
      <rPr>
        <sz val="14"/>
        <rFont val="Montserrat"/>
      </rPr>
      <t xml:space="preserve"> and </t>
    </r>
    <r>
      <rPr>
        <b/>
        <sz val="14"/>
        <rFont val="Montserrat"/>
      </rPr>
      <t>Raw material specifications</t>
    </r>
    <r>
      <rPr>
        <sz val="14"/>
        <rFont val="Montserrat"/>
      </rPr>
      <t xml:space="preserve">
</t>
    </r>
    <r>
      <rPr>
        <b/>
        <sz val="14"/>
        <rFont val="Montserrat"/>
      </rPr>
      <t>2.- BOM</t>
    </r>
    <r>
      <rPr>
        <sz val="14"/>
        <rFont val="Montserrat"/>
      </rPr>
      <t xml:space="preserve"> and </t>
    </r>
    <r>
      <rPr>
        <b/>
        <sz val="14"/>
        <rFont val="Montserrat"/>
      </rPr>
      <t>Packaging Agreement</t>
    </r>
    <r>
      <rPr>
        <sz val="14"/>
        <rFont val="Montserrat"/>
      </rPr>
      <t xml:space="preserve">
</t>
    </r>
    <r>
      <rPr>
        <b/>
        <sz val="14"/>
        <rFont val="Montserrat"/>
      </rPr>
      <t xml:space="preserve">3.- Process specifications </t>
    </r>
  </si>
  <si>
    <r>
      <t xml:space="preserve">SOCO for Raw Material </t>
    </r>
    <r>
      <rPr>
        <b/>
        <sz val="20"/>
        <color rgb="FFFF3300"/>
        <rFont val="Montserrat"/>
      </rPr>
      <t>(*)</t>
    </r>
    <r>
      <rPr>
        <sz val="14"/>
        <rFont val="Montserrat"/>
      </rPr>
      <t xml:space="preserve">
</t>
    </r>
  </si>
  <si>
    <r>
      <rPr>
        <b/>
        <sz val="14"/>
        <rFont val="Montserrat"/>
      </rPr>
      <t>SOCO for Raw Material</t>
    </r>
    <r>
      <rPr>
        <sz val="14"/>
        <rFont val="Montserrat"/>
      </rPr>
      <t xml:space="preserve">
</t>
    </r>
  </si>
  <si>
    <r>
      <t xml:space="preserve">SOCO for Machine &amp; Equipment
(internal - no sourcing decision to supplier) </t>
    </r>
    <r>
      <rPr>
        <b/>
        <sz val="20"/>
        <color rgb="FFFF3300"/>
        <rFont val="Montserrat"/>
      </rPr>
      <t>(*)</t>
    </r>
  </si>
  <si>
    <t>RD Director</t>
  </si>
  <si>
    <t>APQP Gate Release Checklist (APQP GRC)
INDUSTRIALIZATION  - PHASE LEAD: PLANT MANAGER</t>
  </si>
  <si>
    <t>Closed
Date</t>
  </si>
  <si>
    <r>
      <rPr>
        <b/>
        <sz val="14"/>
        <rFont val="Montserrat"/>
      </rPr>
      <t>1.- CAPEX Ctte Submission</t>
    </r>
    <r>
      <rPr>
        <sz val="14"/>
        <rFont val="Montserrat"/>
      </rPr>
      <t xml:space="preserve">
2.- Investment system release</t>
    </r>
  </si>
  <si>
    <r>
      <rPr>
        <b/>
        <sz val="14"/>
        <rFont val="Montserrat"/>
      </rPr>
      <t>RM PPAP approved (all suppliers)</t>
    </r>
    <r>
      <rPr>
        <sz val="14"/>
        <rFont val="Montserrat"/>
      </rPr>
      <t xml:space="preserve">
</t>
    </r>
  </si>
  <si>
    <r>
      <rPr>
        <b/>
        <sz val="14"/>
        <rFont val="Montserrat"/>
      </rPr>
      <t>1. WI for Packaging (FGs in pallets) / shipment preparation (Family)</t>
    </r>
    <r>
      <rPr>
        <sz val="14"/>
        <rFont val="Montserrat"/>
      </rPr>
      <t xml:space="preserve">
</t>
    </r>
    <r>
      <rPr>
        <b/>
        <sz val="14"/>
        <rFont val="Montserrat"/>
      </rPr>
      <t>2. WI for Storage (Family)</t>
    </r>
    <r>
      <rPr>
        <sz val="14"/>
        <rFont val="Montserrat"/>
      </rPr>
      <t xml:space="preserve">
</t>
    </r>
    <r>
      <rPr>
        <b/>
        <sz val="14"/>
        <rFont val="Montserrat"/>
      </rPr>
      <t>3. WI for Incoming Inspection</t>
    </r>
    <r>
      <rPr>
        <sz val="14"/>
        <rFont val="Montserrat"/>
      </rPr>
      <t xml:space="preserve">
4. Tools for incoming inspection</t>
    </r>
  </si>
  <si>
    <r>
      <rPr>
        <b/>
        <sz val="14"/>
        <rFont val="Montserrat"/>
      </rPr>
      <t>OQ Bundle:</t>
    </r>
    <r>
      <rPr>
        <sz val="14"/>
        <rFont val="Montserrat"/>
      </rPr>
      <t xml:space="preserve">
1. Setup Work Instructions &amp; records
2. Spare part list
3. Preventive Maintenance Plan and WI
4. Machine R@R </t>
    </r>
  </si>
  <si>
    <r>
      <rPr>
        <b/>
        <sz val="14"/>
        <rFont val="Montserrat"/>
      </rPr>
      <t xml:space="preserve">PQ Bundle:
</t>
    </r>
    <r>
      <rPr>
        <sz val="14"/>
        <rFont val="Montserrat"/>
      </rPr>
      <t>1.- Machine setup and DOE
2. MSA (all stations GO/NG, fixed process parameters)
3. Gage R&amp;R (all manufacturing processes and test processes with numerical result, fixed process parameters)</t>
    </r>
  </si>
  <si>
    <r>
      <rPr>
        <b/>
        <sz val="14"/>
        <rFont val="Montserrat"/>
      </rPr>
      <t>1. PFMEA</t>
    </r>
    <r>
      <rPr>
        <sz val="14"/>
        <rFont val="Montserrat"/>
      </rPr>
      <t xml:space="preserve">
</t>
    </r>
    <r>
      <rPr>
        <b/>
        <sz val="14"/>
        <rFont val="Montserrat"/>
      </rPr>
      <t xml:space="preserve">2. Control Plan </t>
    </r>
    <r>
      <rPr>
        <sz val="14"/>
        <rFont val="Montserrat"/>
      </rPr>
      <t xml:space="preserve">
</t>
    </r>
  </si>
  <si>
    <r>
      <rPr>
        <b/>
        <sz val="14"/>
        <rFont val="Montserrat"/>
      </rPr>
      <t xml:space="preserve">1. Manufacturing Work Instructions </t>
    </r>
    <r>
      <rPr>
        <sz val="14"/>
        <rFont val="Montserrat"/>
      </rPr>
      <t xml:space="preserve">
</t>
    </r>
    <r>
      <rPr>
        <b/>
        <sz val="14"/>
        <rFont val="Montserrat"/>
      </rPr>
      <t>2. Training Plan and Training Matrix (Production / Quality)</t>
    </r>
  </si>
  <si>
    <r>
      <t xml:space="preserve">Line Release Audit - Including New Equipment, Tooling, and Test Equipment Release </t>
    </r>
    <r>
      <rPr>
        <b/>
        <sz val="20"/>
        <color rgb="FFFF3300"/>
        <rFont val="Montserrat"/>
      </rPr>
      <t>(*)</t>
    </r>
    <r>
      <rPr>
        <sz val="14"/>
        <rFont val="Montserrat"/>
      </rPr>
      <t xml:space="preserve">
</t>
    </r>
  </si>
  <si>
    <r>
      <rPr>
        <b/>
        <sz val="14"/>
        <rFont val="Montserrat"/>
      </rPr>
      <t xml:space="preserve">Line Release Report:
</t>
    </r>
    <r>
      <rPr>
        <sz val="14"/>
        <rFont val="Montserrat"/>
      </rPr>
      <t>1. Run @ Rate
2. Process Audit (VDA 6.3)
3. Closing Meeting (Line Release Report should be available)
4. Action plan approval and launch (2 weeks max timing)</t>
    </r>
  </si>
  <si>
    <r>
      <t xml:space="preserve">1. QTP batch manufacturing
2. QTP test
</t>
    </r>
    <r>
      <rPr>
        <b/>
        <sz val="14"/>
        <rFont val="Montserrat"/>
      </rPr>
      <t>3. QTP Report</t>
    </r>
  </si>
  <si>
    <r>
      <t xml:space="preserve">
</t>
    </r>
    <r>
      <rPr>
        <b/>
        <sz val="14"/>
        <rFont val="Montserrat"/>
      </rPr>
      <t>1. PFMEA
2. Control Plan</t>
    </r>
  </si>
  <si>
    <t>APQP Gate Release Checklist (APQP GRC)
SOP + 6 MONTHS  - PHASE LEAD: PROJECT MANAGER</t>
  </si>
  <si>
    <r>
      <t xml:space="preserve">Quality Review </t>
    </r>
    <r>
      <rPr>
        <b/>
        <sz val="20"/>
        <color rgb="FFFF3300"/>
        <rFont val="Montserrat"/>
      </rPr>
      <t>(*)</t>
    </r>
  </si>
  <si>
    <r>
      <rPr>
        <b/>
        <sz val="14"/>
        <rFont val="Montserrat"/>
      </rPr>
      <t>SOP Review format</t>
    </r>
    <r>
      <rPr>
        <sz val="14"/>
        <rFont val="Montserrat"/>
      </rPr>
      <t xml:space="preserve"> (Int/Ext Claims, Safe launch/Quality walls, Achievement vs LON, Deliveries vs orders, Actual profitability vs PDCC)
</t>
    </r>
  </si>
  <si>
    <r>
      <t>Commercial Review</t>
    </r>
    <r>
      <rPr>
        <sz val="14"/>
        <color rgb="FFFF3300"/>
        <rFont val="Montserrat"/>
      </rPr>
      <t xml:space="preserve"> </t>
    </r>
    <r>
      <rPr>
        <b/>
        <sz val="20"/>
        <color rgb="FFFF3300"/>
        <rFont val="Montserrat"/>
      </rPr>
      <t>(*)</t>
    </r>
  </si>
  <si>
    <t>PHASE VALIDATION
 RESULT</t>
  </si>
  <si>
    <t>Gate Release Team</t>
  </si>
  <si>
    <t>QG1</t>
  </si>
  <si>
    <t>KAM</t>
  </si>
  <si>
    <t>CDL</t>
  </si>
  <si>
    <t>FAE</t>
  </si>
  <si>
    <t>Process design Engineer</t>
  </si>
  <si>
    <t>RD Manager</t>
  </si>
  <si>
    <t>Project Quality Inspector</t>
  </si>
  <si>
    <t>Samples leader/operator</t>
  </si>
  <si>
    <t>QG2</t>
  </si>
  <si>
    <t>Quality Manager</t>
  </si>
  <si>
    <t>Maintenance Manager</t>
  </si>
  <si>
    <t>Supply Chain Manager</t>
  </si>
  <si>
    <t>Finance Manager</t>
  </si>
  <si>
    <t xml:space="preserve">Corporate QMS </t>
  </si>
  <si>
    <t>Manufacturing Engineer</t>
  </si>
  <si>
    <t>Production Manager</t>
  </si>
  <si>
    <t>Lab Engineer</t>
  </si>
  <si>
    <t>IQC inspector</t>
  </si>
  <si>
    <t>QG3</t>
  </si>
  <si>
    <t>Quality System Engineer</t>
  </si>
  <si>
    <t>HSE supervisor</t>
  </si>
  <si>
    <t>Quality Supervisor</t>
  </si>
  <si>
    <t>Quality Control Engineer</t>
  </si>
  <si>
    <t>Production Supervisor</t>
  </si>
  <si>
    <t>Warehouse supervisor</t>
  </si>
  <si>
    <t>Maintenance engineer</t>
  </si>
  <si>
    <t>HR Supervisor</t>
  </si>
  <si>
    <t>HR Manager</t>
  </si>
  <si>
    <t>QG4</t>
  </si>
  <si>
    <t>Customer Quality Engineer</t>
  </si>
  <si>
    <t>REVISION HISTORY</t>
  </si>
  <si>
    <t>Rev.</t>
  </si>
  <si>
    <t>Date</t>
  </si>
  <si>
    <t xml:space="preserve"> Modification</t>
  </si>
  <si>
    <t>Made by</t>
  </si>
  <si>
    <t>Checked by</t>
  </si>
  <si>
    <t>Approved by</t>
  </si>
  <si>
    <t>01</t>
  </si>
  <si>
    <t>Initial version of the document</t>
  </si>
  <si>
    <t>Yogeshkumar L.</t>
  </si>
  <si>
    <t>J.Muñoz</t>
  </si>
  <si>
    <t>J.M. Pichot</t>
  </si>
  <si>
    <t>02</t>
  </si>
  <si>
    <t>Requirements reviewed. Format update. Added Possible requirements and evidences column. Added Remarks/Gaps column. Name updated to APQP GRC</t>
  </si>
  <si>
    <t>O.Gutiérrez</t>
  </si>
  <si>
    <t>03</t>
  </si>
  <si>
    <t>General update of the checklist</t>
  </si>
  <si>
    <t>04</t>
  </si>
  <si>
    <t>Added "Responsible" and "Evidence" columns. Note in the header updated. "Design No" updated to Spec edition". "Review date" moved below "Reviewed by". ST2 Item 5 abd ST4 item 12 description updated.</t>
  </si>
  <si>
    <t>05</t>
  </si>
  <si>
    <t>"Responsibles" column updated</t>
  </si>
  <si>
    <t>06</t>
  </si>
  <si>
    <t>General form review and update. Added "Released by, Date, Status, Gate validation Team" for each stage. Removed APQP Risk. Removed unused fields on header. Added/updated/removed items in DV/PV/PDPV stages. Added Category "Automotive/Non Automotive"</t>
  </si>
  <si>
    <t>M. Yamada</t>
  </si>
  <si>
    <t>07</t>
  </si>
  <si>
    <t>Added RACI Matrix
Changed sequence of gates and naming
Changed gate items and deliverables
Added new columns to assess validity of items
General form review and update
Added Quality Gate Lead
Added Gate Release Team</t>
  </si>
  <si>
    <t>A. García</t>
  </si>
  <si>
    <t>08</t>
  </si>
  <si>
    <t>Split file into different sheets for better visibility and formatting</t>
  </si>
  <si>
    <t>Jose Lasierra</t>
  </si>
  <si>
    <t>(This column should be hidden)</t>
  </si>
  <si>
    <t xml:space="preserve">GL-00-002-F-001. Ver: 6.0  </t>
  </si>
  <si>
    <t xml:space="preserve">Note: All documentation of APQP at respective stage complete, Agreed &amp; Released by Cross-Functional Team. </t>
  </si>
  <si>
    <t>Closed</t>
  </si>
  <si>
    <t>NO OK</t>
  </si>
  <si>
    <t>PREMO Vietnam</t>
  </si>
  <si>
    <t>India</t>
  </si>
  <si>
    <t>*PM must schedule phase review 15 working days with Quality Manager before PVC date and agenda for PVC to be fixed by PM before 3 working days of PVC date.</t>
  </si>
  <si>
    <t>TEAM + FEASIBILITY (PLANNING)</t>
  </si>
  <si>
    <t>Evidence</t>
  </si>
  <si>
    <t>Applicable for No Auto</t>
  </si>
  <si>
    <t>Evidence (short link)</t>
  </si>
  <si>
    <t>Defined Actions</t>
  </si>
  <si>
    <t>PFA
Feasibility</t>
  </si>
  <si>
    <t>Team defined, stake holders from key functions/expertise available</t>
  </si>
  <si>
    <t>Project Information tab in Project Management &gt; Project_information.xls</t>
  </si>
  <si>
    <t>X</t>
  </si>
  <si>
    <t>Project Kick off done and information shared with all project team</t>
  </si>
  <si>
    <t>Project Management &gt; [email or MoM]</t>
  </si>
  <si>
    <t>Project plan</t>
  </si>
  <si>
    <t xml:space="preserve">Project Management &gt; Project_information.xls, Tab Timeplan </t>
  </si>
  <si>
    <t>Customer Input Requirements available and clear.</t>
  </si>
  <si>
    <t>Customer Spec, Email or any evidence of customer request</t>
  </si>
  <si>
    <t>Sales</t>
  </si>
  <si>
    <t>Preliminary BOM available</t>
  </si>
  <si>
    <t>Raw Material tab in PDCC and BOM in SAP</t>
  </si>
  <si>
    <t>R&amp;D</t>
  </si>
  <si>
    <t>Preliminary PREMO Specification</t>
  </si>
  <si>
    <t>Premo specification "V0" for Feasibility</t>
  </si>
  <si>
    <t>Design Verification (Samples Inspection Report / SIR) (if applicable)</t>
  </si>
  <si>
    <t>Sample Inspection Report (SIR) for feasibility samples</t>
  </si>
  <si>
    <t>Engineering</t>
  </si>
  <si>
    <t>Manufacturing Working Instruction (Samples Inspection Report / SIR) (if applicable)</t>
  </si>
  <si>
    <t>WI for Feasibility samples (if needed, not mandatory)</t>
  </si>
  <si>
    <t>PDCC reviewed</t>
  </si>
  <si>
    <t>PDCC</t>
  </si>
  <si>
    <t>Project Team (leaded by PM)</t>
  </si>
  <si>
    <t>Previous DFMEA &amp; Lesson Learnt review</t>
  </si>
  <si>
    <t>If Lessons learnt applied, to add the Lessons Learnt ID from Database // For DFMEA review, add the reference of the Part Number and DFMEA Ed</t>
  </si>
  <si>
    <t>Project Team</t>
  </si>
  <si>
    <t>Preliminary List of special product and process characteristics</t>
  </si>
  <si>
    <t>List of Special Characteristics (if required by customer) in Quality folder OR Characteristics defined in Premo Specification</t>
  </si>
  <si>
    <t>1.12</t>
  </si>
  <si>
    <t>Feasibility Study (included in PDCC)</t>
  </si>
  <si>
    <t>Feasibility tab in PDCC filled</t>
  </si>
  <si>
    <t>1.13</t>
  </si>
  <si>
    <t>Open Issues List reviewed</t>
  </si>
  <si>
    <t>Check that the the Open Issues List (LOP tab) has been reviewed and the tasks are on time.</t>
  </si>
  <si>
    <t>1.14</t>
  </si>
  <si>
    <t>Risk Assessment &amp; Lesson Learnt Review</t>
  </si>
  <si>
    <t>Risk assesment tab in Project_information.xls</t>
  </si>
  <si>
    <t>GATE RELEASE RESULT</t>
  </si>
  <si>
    <t>GATE VALIDATION TEAM:</t>
  </si>
  <si>
    <t>GATE VALIDATION COMMENTS</t>
  </si>
  <si>
    <t>R&amp;D Resp</t>
  </si>
  <si>
    <t>Sales Resp</t>
  </si>
  <si>
    <t>Engineering Resp</t>
  </si>
  <si>
    <t>Sourcing Resp</t>
  </si>
  <si>
    <t>Quality Resp</t>
  </si>
  <si>
    <t>DESIGN VALIDATION (PRODUCT DESIGN &amp; DEVELOPMENT)</t>
  </si>
  <si>
    <t>Yes</t>
  </si>
  <si>
    <t>DV
Design Validation</t>
  </si>
  <si>
    <t>DFMEA</t>
  </si>
  <si>
    <t>DFMEA Creation/Update in SkillFMEA. Includes SC/CC (critical characteristics)</t>
  </si>
  <si>
    <t>Project Team (leaded by R&amp;D)</t>
  </si>
  <si>
    <t>PREMO Specification (including packaging definition)</t>
  </si>
  <si>
    <t>PREMO Specification approved by Quality in Master List. Includes SC/CC (critical characteristics)</t>
  </si>
  <si>
    <t>PREMO Raw Material specifications</t>
  </si>
  <si>
    <t>Premo RM Specifications approved by Quality in Master List. Includes SC/CC (critical characteristics)</t>
  </si>
  <si>
    <t>Proto-type build Control Plan and Working Instruction (automotive projects with prototypes)</t>
  </si>
  <si>
    <t>Protype Control Plan and Working Instruction for DV Samples (applicable only for automotive projects when prototypes are required). Includes SC/CC (critical characteristics)</t>
  </si>
  <si>
    <t>Design Verification (Samples Inspection Report / SIR)</t>
  </si>
  <si>
    <t>SIR for DV Samples</t>
  </si>
  <si>
    <t>Definitive Special Product and Process Characterisitcs</t>
  </si>
  <si>
    <t>Updated List of Special Characteristics (if required by customer) in Quality folder OR Characteristics defined in Premo Specification</t>
  </si>
  <si>
    <t>R&amp;D/Engineering</t>
  </si>
  <si>
    <t>Customer Requirements Check List or PREMO Specification acceptance, 
Customer Specific Requirements cross checked.</t>
  </si>
  <si>
    <t>Customer Requirement Form (Premo template or customer template) OR Premo specification accepted by customer (signature or email);
Check all Customer Requirements.</t>
  </si>
  <si>
    <t>Project Quality (supported by Project Team)</t>
  </si>
  <si>
    <t>BOM with definitive suppliers</t>
  </si>
  <si>
    <t>BOM with definitive suppliers form</t>
  </si>
  <si>
    <t>Sourcing</t>
  </si>
  <si>
    <t>Suppliers Approval Plan (for non-approved suppliers)</t>
  </si>
  <si>
    <t>Review that all suppliers are approved. If supplier is not approved, approval plan is needed.</t>
  </si>
  <si>
    <t>Sourcing (supported by SQA)</t>
  </si>
  <si>
    <t>RM PPAP are requested in VEGA</t>
  </si>
  <si>
    <t>Projects are opened in VEGA</t>
  </si>
  <si>
    <t xml:space="preserve">Preliminary Process Flow Chart </t>
  </si>
  <si>
    <t>Preliminary Process Flow Chart file. Includes SC/CC (critical characteristics)</t>
  </si>
  <si>
    <t>Preliminary PFMEA</t>
  </si>
  <si>
    <t>Prelminary PFMEA in SkillFMEA. Includes SC/CC (critical characteristics)</t>
  </si>
  <si>
    <t>Project Team (leaded by ENG)</t>
  </si>
  <si>
    <t>Qualification Test Plan (QTP) is clear and agreed with customer</t>
  </si>
  <si>
    <t>Qualification Test Plan (agreed with customer)</t>
  </si>
  <si>
    <t>Project Quality (supported by R&amp;D and Lab)</t>
  </si>
  <si>
    <t>New Equipment, Tooling, and Test Equipment Design</t>
  </si>
  <si>
    <t>PDCC Reviewed</t>
  </si>
  <si>
    <t xml:space="preserve">Logistics Protocol / Packaging agreement </t>
  </si>
  <si>
    <t>According customer request (if required). Sales: collects the information from customer / Supply Chain: evaluation / R&amp;D: Packaging design.</t>
  </si>
  <si>
    <t>Sales / Supply Chain Manager / R&amp;D</t>
  </si>
  <si>
    <t>2.17</t>
  </si>
  <si>
    <t>2.18</t>
  </si>
  <si>
    <t>Risk assesment tab in Project_information.xls and Lessons Learnt added in database if proceed.</t>
  </si>
  <si>
    <t>INDUSTRIALIZATION (PROCESS DESIGN &amp; DEVELOPMENT)</t>
  </si>
  <si>
    <t>PV
Industrialization</t>
  </si>
  <si>
    <t>PFMEA in SkillFMEA. Includes SC/CC (critical characteristics)</t>
  </si>
  <si>
    <t>Project Team (leaded by Engineering)</t>
  </si>
  <si>
    <t>Process Flow Chart</t>
  </si>
  <si>
    <t>Flow Chart. Includes SC/CC (critical characteristics)</t>
  </si>
  <si>
    <t>Production Plant Layout</t>
  </si>
  <si>
    <t>Layout</t>
  </si>
  <si>
    <t>New Equipment, Tooling, and Test Equipment Release</t>
  </si>
  <si>
    <t>Equipment list form</t>
  </si>
  <si>
    <t>Pre-Launch Control Plan (if applicable)</t>
  </si>
  <si>
    <t>Control Plan. Includes SC/CC (critical characteristics)</t>
  </si>
  <si>
    <t>Production Control Plan</t>
  </si>
  <si>
    <t>Control Plan (Production)</t>
  </si>
  <si>
    <t>SLC Defined &amp; Agreed (if applicable)</t>
  </si>
  <si>
    <t>Safe Launch Concept defined in Control Plan (if applicable)</t>
  </si>
  <si>
    <t>Project Quality (Supported by Project Team)</t>
  </si>
  <si>
    <t>Work / Process Instructions (WI and Visual Aids)</t>
  </si>
  <si>
    <t>WI and visual aids.Includes SC/CC (critical characteristics)</t>
  </si>
  <si>
    <t>Measurement System Analysis Plan</t>
  </si>
  <si>
    <t>R&amp;R/MSA of all testing equipments included in the control plan</t>
  </si>
  <si>
    <t>Projects Quality (supported by Lab)</t>
  </si>
  <si>
    <t>Training matrix definition including training records (if applicable)</t>
  </si>
  <si>
    <t>Definition of the training matrix for new production line</t>
  </si>
  <si>
    <t>Incoming Inspection WI / Inspection Plan</t>
  </si>
  <si>
    <t>Inspection characteristics defined in SAP</t>
  </si>
  <si>
    <t>IQC (supported by SQA)</t>
  </si>
  <si>
    <t>Preliminary maintenance plan (PMP)</t>
  </si>
  <si>
    <t>Preventive maintenance plan, instructions, spare parts and records</t>
  </si>
  <si>
    <t>Traceability records</t>
  </si>
  <si>
    <t>Definition of the traceability controls (traceability forms, start-up checklist, etc)</t>
  </si>
  <si>
    <t>Projects Quality</t>
  </si>
  <si>
    <t>IQ, OQ, PQ Report</t>
  </si>
  <si>
    <t>Installation Qualification (IQ), Operation Qualification (OQ) and Performance Qualification (PQ) checklists available (if applicable)</t>
  </si>
  <si>
    <t>Line Release Report</t>
  </si>
  <si>
    <t>Line release report available (Internal audit + Run &amp; Rate)</t>
  </si>
  <si>
    <t>3.16</t>
  </si>
  <si>
    <t>3.17</t>
  </si>
  <si>
    <t>3.18</t>
  </si>
  <si>
    <t>PRODUCT AND PROCESS VALIDATION</t>
  </si>
  <si>
    <t>PDPV
Product &amp; Process Validation</t>
  </si>
  <si>
    <t>R&amp;R/MSA of all testing equipments included in the Control Plan</t>
  </si>
  <si>
    <t>Quality Lab (supported by Project Quality)</t>
  </si>
  <si>
    <t>QTP Execution is finished with OK Result</t>
  </si>
  <si>
    <t>QTP Execution, Summary results &amp; Reports</t>
  </si>
  <si>
    <t>IMDS is approved by Customer</t>
  </si>
  <si>
    <t>IMDS/CAMDS submitted and approved by customer</t>
  </si>
  <si>
    <t>4.4</t>
  </si>
  <si>
    <t>Verification of Supplier Approval</t>
  </si>
  <si>
    <t>All suppliers approved in VEGA</t>
  </si>
  <si>
    <t>Project Quality (supported by SQA)</t>
  </si>
  <si>
    <t>4.5</t>
  </si>
  <si>
    <t>Verification of RM PPAP Approval</t>
  </si>
  <si>
    <t>RM PPAP approved in VEGA</t>
  </si>
  <si>
    <t>4.6</t>
  </si>
  <si>
    <t>SPC definition and record (Paretto, %scrap)</t>
  </si>
  <si>
    <t>SPC Definition and record (Parettom %Scrap)</t>
  </si>
  <si>
    <t>4.7</t>
  </si>
  <si>
    <t>Run@Rate with customer</t>
  </si>
  <si>
    <t>Run &amp; Rate with customer (if applicable)</t>
  </si>
  <si>
    <t>Project Team (leaded by PM/ENG/Project QUA)</t>
  </si>
  <si>
    <t>4.8</t>
  </si>
  <si>
    <t xml:space="preserve">PPAP Approval (PSW Signed) - Received &amp; Reviewed </t>
  </si>
  <si>
    <t>PSW Signed by Customer</t>
  </si>
  <si>
    <t>4.9</t>
  </si>
  <si>
    <t>DFMEA &amp; PFMEA Review after QTP Results</t>
  </si>
  <si>
    <t>Review of DFMEA/PFMEA after QTP, in case of failures after test</t>
  </si>
  <si>
    <t>4.10</t>
  </si>
  <si>
    <t>Line Release Report Review</t>
  </si>
  <si>
    <t>Line release report reviewed before project hand over to production (to check possible open points after Stage 3 - Industrialization)</t>
  </si>
  <si>
    <t>Project Team, Production, Quality</t>
  </si>
  <si>
    <t>4.11</t>
  </si>
  <si>
    <t>4.12</t>
  </si>
  <si>
    <t>4.13</t>
  </si>
  <si>
    <r>
      <t>1.</t>
    </r>
    <r>
      <rPr>
        <sz val="11"/>
        <color rgb="FFFF0000"/>
        <rFont val="Montserrat"/>
      </rPr>
      <t>The DFMEA includes all customer requirements, and the PFMEA includes all process steps and product characteristics, integrating poka‑yoke concepts to prevent potential errors at the source.</t>
    </r>
    <r>
      <rPr>
        <sz val="11"/>
        <rFont val="Montserrat"/>
      </rPr>
      <t xml:space="preserve">
2.</t>
    </r>
    <r>
      <rPr>
        <sz val="11"/>
        <color rgb="FFFF0000"/>
        <rFont val="Montserrat"/>
      </rPr>
      <t xml:space="preserve">Actions are implemented based on the assigned Action Priority (AP):
– For AP High, the team must define and implement actions to improve prevention and/or detection controls, prioritizing poka‑yoke solutions when feasible.
– For AP Medium, the team should identify appropriate actions or formally justify why existing controls are adequate.
– For AP Low, the team may consider additional improvements when beneficial.
</t>
    </r>
    <r>
      <rPr>
        <sz val="11"/>
        <rFont val="Montserrat"/>
      </rPr>
      <t xml:space="preserve">
3.</t>
    </r>
    <r>
      <rPr>
        <sz val="11"/>
        <color rgb="FFFF0000"/>
        <rFont val="Montserrat"/>
      </rPr>
      <t>Both FMEAs are reviewed by the Functional Manager and CDL, ensuring that all risk‑reduction measures, including applicable poka‑yoke mechanisms, are properly assessed and validated.</t>
    </r>
  </si>
  <si>
    <t>Conditional Approved</t>
  </si>
  <si>
    <t>ACTIONS TO DO IN CASE OF CONDITIONAL APPROVAL</t>
  </si>
  <si>
    <t>RESPONSIBLE</t>
  </si>
  <si>
    <t>DUE DATE</t>
  </si>
  <si>
    <t>STATUS</t>
  </si>
  <si>
    <t>DESCRIPTION</t>
  </si>
  <si>
    <t>CLOSE DATE</t>
  </si>
  <si>
    <t>09</t>
  </si>
  <si>
    <t>Added Conditional Approval in the project phase</t>
  </si>
  <si>
    <t>D. Patel</t>
  </si>
  <si>
    <t>J.Muñoz / O. Gutiérrez</t>
  </si>
  <si>
    <t>PCA</t>
  </si>
  <si>
    <t>FEASIBILITY</t>
  </si>
  <si>
    <t>REJECTED</t>
  </si>
  <si>
    <t>PENDING OFFER ACCEPTANCE</t>
  </si>
  <si>
    <t>DEVELOPING</t>
  </si>
  <si>
    <t>SAMPLES</t>
  </si>
  <si>
    <t>CLOSED LOST</t>
  </si>
  <si>
    <t>CLOSED 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</si>
</sst>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x14ac:knownFonts="1">
    <font>
      <sz val="11"/>
      <color theme="1"/>
      <name val="Aptos Narrow"/>
      <family val="2"/>
      <scheme val="minor"/>
    </font>
    <font>
      <sz val="10"/>
      <name val="Arial"/>
      <family val="2"/>
    </font>
    <font>
      <b/>
      <sz val="20"/>
      <name val="Arial"/>
      <family val="2"/>
    </font>
    <font>
      <sz val="20"/>
      <name val="Arial"/>
      <family val="2"/>
    </font>
    <font>
      <sz val="14"/>
      <name val="Arial"/>
      <family val="2"/>
    </font>
    <font>
      <b/>
      <sz val="14"/>
      <name val="Arial"/>
      <family val="2"/>
    </font>
    <font>
      <sz val="11"/>
      <color theme="1"/>
      <name val="Arial"/>
      <family val="2"/>
    </font>
    <font>
      <b/>
      <sz val="12"/>
      <name val="Arial"/>
      <family val="2"/>
    </font>
    <font>
      <sz val="12"/>
      <name val="Arial"/>
      <family val="2"/>
    </font>
    <font>
      <i/>
      <sz val="16"/>
      <name val="Arial"/>
      <family val="2"/>
    </font>
    <font>
      <sz val="12"/>
      <color theme="1"/>
      <name val="Arial"/>
      <family val="2"/>
    </font>
    <font>
      <sz val="11"/>
      <color theme="1"/>
      <name val="Aptos Narrow"/>
      <family val="2"/>
      <scheme val="minor"/>
    </font>
    <font>
      <sz val="8"/>
      <name val="Arial"/>
      <family val="2"/>
    </font>
    <font>
      <b/>
      <sz val="12"/>
      <color theme="0"/>
      <name val="Arial"/>
      <family val="2"/>
    </font>
    <font>
      <sz val="12"/>
      <color theme="0"/>
      <name val="Arial"/>
      <family val="2"/>
    </font>
    <font>
      <sz val="10"/>
      <color theme="0"/>
      <name val="Arial"/>
      <family val="2"/>
    </font>
    <font>
      <sz val="11"/>
      <name val="돋움"/>
      <family val="2"/>
      <charset val="129"/>
    </font>
    <font>
      <i/>
      <u/>
      <sz val="20"/>
      <name val="Aptos Display"/>
      <family val="1"/>
      <scheme val="major"/>
    </font>
    <font>
      <b/>
      <u/>
      <sz val="20"/>
      <name val="Aptos Display"/>
      <family val="1"/>
      <scheme val="major"/>
    </font>
    <font>
      <sz val="11"/>
      <name val="Aptos Display"/>
      <family val="1"/>
      <scheme val="major"/>
    </font>
    <font>
      <b/>
      <sz val="14"/>
      <name val="Aptos Display"/>
      <family val="1"/>
      <scheme val="major"/>
    </font>
    <font>
      <sz val="11"/>
      <color theme="1"/>
      <name val="Aptos Display"/>
      <family val="1"/>
      <scheme val="major"/>
    </font>
    <font>
      <sz val="12"/>
      <color theme="0" tint="-0.499984740745262"/>
      <name val="Arial"/>
      <family val="2"/>
    </font>
    <font>
      <sz val="12"/>
      <color theme="1" tint="4.9989318521683403E-2"/>
      <name val="Arial"/>
      <family val="2"/>
    </font>
    <font>
      <sz val="11"/>
      <color theme="0" tint="-0.499984740745262"/>
      <name val="Arial"/>
      <family val="2"/>
    </font>
    <font>
      <i/>
      <sz val="14"/>
      <name val="Arial"/>
      <family val="2"/>
    </font>
    <font>
      <sz val="12"/>
      <color theme="5" tint="-0.249977111117893"/>
      <name val="Arial"/>
      <family val="2"/>
    </font>
    <font>
      <sz val="11"/>
      <color theme="5" tint="-0.249977111117893"/>
      <name val="Arial"/>
      <family val="2"/>
    </font>
    <font>
      <b/>
      <sz val="12"/>
      <color theme="5" tint="-0.249977111117893"/>
      <name val="Arial"/>
      <family val="2"/>
    </font>
    <font>
      <b/>
      <sz val="9"/>
      <name val="Arial"/>
      <family val="2"/>
    </font>
    <font>
      <sz val="11"/>
      <name val="Arial"/>
      <family val="2"/>
    </font>
    <font>
      <b/>
      <sz val="8"/>
      <color theme="0"/>
      <name val="Arial"/>
      <family val="2"/>
    </font>
    <font>
      <sz val="11"/>
      <color rgb="FFFF0000"/>
      <name val="Arial"/>
      <family val="2"/>
    </font>
    <font>
      <sz val="8"/>
      <name val="Aptos Narrow"/>
      <family val="2"/>
      <scheme val="minor"/>
    </font>
    <font>
      <b/>
      <sz val="16"/>
      <color theme="1"/>
      <name val="Arial"/>
      <family val="2"/>
    </font>
    <font>
      <sz val="16"/>
      <color theme="1"/>
      <name val="Aptos Narrow"/>
      <family val="2"/>
      <scheme val="minor"/>
    </font>
    <font>
      <b/>
      <u/>
      <sz val="16"/>
      <color theme="1"/>
      <name val="Arial"/>
      <family val="2"/>
    </font>
    <font>
      <b/>
      <sz val="20"/>
      <color rgb="FFFF0000"/>
      <name val="Arial"/>
      <family val="2"/>
    </font>
    <font>
      <sz val="12"/>
      <color theme="1"/>
      <name val="Aptos Narrow"/>
      <family val="2"/>
      <scheme val="minor"/>
    </font>
    <font>
      <b/>
      <sz val="12"/>
      <color theme="1"/>
      <name val="Arial"/>
      <family val="2"/>
    </font>
    <font>
      <b/>
      <sz val="11"/>
      <color theme="1"/>
      <name val="Aptos Narrow"/>
      <family val="2"/>
      <scheme val="minor"/>
    </font>
    <font>
      <b/>
      <sz val="16"/>
      <color theme="0"/>
      <name val="Arial"/>
      <family val="2"/>
    </font>
    <font>
      <b/>
      <sz val="18"/>
      <color theme="0"/>
      <name val="Arial"/>
      <family val="2"/>
    </font>
    <font>
      <b/>
      <sz val="18"/>
      <name val="Arial"/>
      <family val="2"/>
    </font>
    <font>
      <b/>
      <sz val="20"/>
      <color theme="0"/>
      <name val="Aptos Narrow"/>
      <family val="2"/>
      <scheme val="minor"/>
    </font>
    <font>
      <b/>
      <i/>
      <sz val="20"/>
      <color theme="0"/>
      <name val="Aptos Display"/>
      <family val="2"/>
      <scheme val="major"/>
    </font>
    <font>
      <b/>
      <sz val="36"/>
      <color theme="0"/>
      <name val="Arial"/>
      <family val="2"/>
    </font>
    <font>
      <b/>
      <sz val="16"/>
      <name val="Arial"/>
      <family val="2"/>
    </font>
    <font>
      <b/>
      <sz val="28"/>
      <name val="Arial"/>
      <family val="2"/>
    </font>
    <font>
      <b/>
      <u/>
      <sz val="18"/>
      <color theme="0"/>
      <name val="Arial"/>
      <family val="2"/>
    </font>
    <font>
      <sz val="18"/>
      <color theme="1"/>
      <name val="Aptos Narrow"/>
      <family val="2"/>
      <scheme val="minor"/>
    </font>
    <font>
      <b/>
      <sz val="22"/>
      <color theme="0"/>
      <name val="Arial"/>
      <family val="2"/>
    </font>
    <font>
      <b/>
      <sz val="16"/>
      <color rgb="FFFF3300"/>
      <name val="Arial"/>
      <family val="2"/>
    </font>
    <font>
      <sz val="20"/>
      <color rgb="FFFF3300"/>
      <name val="Arial"/>
      <family val="2"/>
    </font>
    <font>
      <sz val="12"/>
      <color theme="1"/>
      <name val="Montserrat"/>
    </font>
    <font>
      <b/>
      <sz val="22"/>
      <color theme="0"/>
      <name val="Montserrat"/>
    </font>
    <font>
      <b/>
      <sz val="18"/>
      <color theme="0"/>
      <name val="Montserrat"/>
    </font>
    <font>
      <b/>
      <sz val="16"/>
      <name val="Montserrat"/>
    </font>
    <font>
      <b/>
      <sz val="16"/>
      <color theme="0"/>
      <name val="Montserrat"/>
    </font>
    <font>
      <b/>
      <sz val="28"/>
      <name val="Montserrat"/>
    </font>
    <font>
      <sz val="12"/>
      <name val="Montserrat"/>
    </font>
    <font>
      <b/>
      <sz val="12"/>
      <name val="Montserrat"/>
    </font>
    <font>
      <sz val="20"/>
      <color rgb="FFFF3300"/>
      <name val="Montserrat"/>
    </font>
    <font>
      <sz val="11"/>
      <color theme="1"/>
      <name val="Montserrat"/>
    </font>
    <font>
      <b/>
      <sz val="9"/>
      <name val="Montserrat"/>
    </font>
    <font>
      <b/>
      <sz val="18"/>
      <name val="Montserrat"/>
    </font>
    <font>
      <sz val="14"/>
      <name val="Montserrat"/>
    </font>
    <font>
      <sz val="14"/>
      <color theme="1"/>
      <name val="Montserrat"/>
    </font>
    <font>
      <b/>
      <sz val="14"/>
      <color theme="1"/>
      <name val="Montserrat"/>
    </font>
    <font>
      <sz val="14"/>
      <color rgb="FFFF3300"/>
      <name val="Montserrat"/>
    </font>
    <font>
      <b/>
      <sz val="14"/>
      <name val="Montserrat"/>
    </font>
    <font>
      <sz val="16"/>
      <color theme="1"/>
      <name val="Montserrat"/>
    </font>
    <font>
      <b/>
      <u/>
      <sz val="16"/>
      <color theme="0"/>
      <name val="Montserrat"/>
    </font>
    <font>
      <b/>
      <sz val="36"/>
      <color theme="0"/>
      <name val="Montserrat"/>
    </font>
    <font>
      <b/>
      <sz val="26"/>
      <color theme="0"/>
      <name val="Montserrat"/>
    </font>
    <font>
      <b/>
      <sz val="14"/>
      <color theme="0"/>
      <name val="Montserrat"/>
    </font>
    <font>
      <sz val="10"/>
      <name val="Montserrat"/>
    </font>
    <font>
      <b/>
      <sz val="12"/>
      <color theme="0"/>
      <name val="Montserrat"/>
    </font>
    <font>
      <sz val="8"/>
      <name val="Montserrat"/>
    </font>
    <font>
      <sz val="14"/>
      <color theme="0" tint="-0.499984740745262"/>
      <name val="Montserrat"/>
    </font>
    <font>
      <b/>
      <sz val="14"/>
      <color theme="5" tint="-0.249977111117893"/>
      <name val="Montserrat"/>
    </font>
    <font>
      <b/>
      <sz val="22"/>
      <name val="Montserrat"/>
    </font>
    <font>
      <sz val="11"/>
      <name val="Montserrat"/>
    </font>
    <font>
      <b/>
      <sz val="20"/>
      <color rgb="FFFF3300"/>
      <name val="Montserrat"/>
    </font>
    <font>
      <b/>
      <sz val="20"/>
      <color rgb="FFFF3300"/>
      <name val="Arial"/>
      <family val="2"/>
    </font>
    <font>
      <b/>
      <sz val="16"/>
      <color rgb="FFFF0000"/>
      <name val="Arial"/>
      <family val="2"/>
    </font>
    <font>
      <sz val="11"/>
      <color theme="0"/>
      <name val="Arial"/>
      <family val="2"/>
    </font>
    <font>
      <b/>
      <sz val="14"/>
      <color rgb="FF000000"/>
      <name val="Montserrat"/>
    </font>
    <font>
      <sz val="14"/>
      <color rgb="FF000000"/>
      <name val="Montserrat"/>
    </font>
    <font>
      <sz val="11"/>
      <color rgb="FFFF0000"/>
      <name val="Montserrat"/>
    </font>
    <font>
      <b/>
      <sz val="10"/>
      <color theme="1"/>
      <name val="Montserrat"/>
    </font>
    <font>
      <b/>
      <sz val="11"/>
      <color theme="1"/>
      <name val="Arial"/>
      <family val="2"/>
    </font>
    <font>
      <b/>
      <sz val="10"/>
      <color theme="1"/>
      <name val="Arial"/>
      <family val="2"/>
    </font>
    <font>
      <sz val="11"/>
      <color theme="0"/>
      <name val="Aptos Narrow"/>
      <family val="2"/>
      <scheme val="minor"/>
    </font>
  </fonts>
  <fills count="21">
    <fill>
      <patternFill patternType="none"/>
    </fill>
    <fill>
      <patternFill patternType="gray125"/>
    </fill>
    <fill>
      <patternFill patternType="solid">
        <fgColor indexed="9"/>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CC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C00000"/>
        <bgColor indexed="64"/>
      </patternFill>
    </fill>
    <fill>
      <patternFill patternType="solid">
        <fgColor theme="0" tint="-0.499984740745262"/>
        <bgColor indexed="64"/>
      </patternFill>
    </fill>
    <fill>
      <patternFill patternType="solid">
        <fgColor theme="0"/>
        <bgColor indexed="64"/>
      </patternFill>
    </fill>
    <fill>
      <patternFill patternType="solid">
        <fgColor rgb="FFFF33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right/>
      <top/>
      <bottom style="thin">
        <color rgb="FF000000"/>
      </bottom>
      <diagonal/>
    </border>
    <border>
      <left/>
      <right/>
      <top style="thin">
        <color indexed="64"/>
      </top>
      <bottom style="thin">
        <color rgb="FF000000"/>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4">
    <xf numFmtId="0" fontId="0" fillId="0" borderId="0"/>
    <xf numFmtId="0" fontId="1" fillId="0" borderId="0"/>
    <xf numFmtId="0" fontId="16" fillId="0" borderId="0"/>
    <xf numFmtId="0" fontId="11" fillId="0" borderId="0"/>
  </cellStyleXfs>
  <cellXfs count="896">
    <xf numFmtId="0" fontId="0" fillId="0" borderId="0" xfId="0"/>
    <xf numFmtId="0" fontId="5" fillId="2" borderId="2" xfId="1" applyFont="1" applyFill="1" applyBorder="1" applyAlignment="1">
      <alignment horizontal="right" vertical="center"/>
    </xf>
    <xf numFmtId="0" fontId="1" fillId="0" borderId="2" xfId="1" applyBorder="1"/>
    <xf numFmtId="0" fontId="6" fillId="0" borderId="0" xfId="0" applyFont="1"/>
    <xf numFmtId="0" fontId="7" fillId="2" borderId="7" xfId="1" applyFont="1" applyFill="1" applyBorder="1" applyAlignment="1">
      <alignment horizontal="center" vertical="top"/>
    </xf>
    <xf numFmtId="0" fontId="7" fillId="2" borderId="4" xfId="1" applyFont="1" applyFill="1" applyBorder="1" applyAlignment="1">
      <alignment horizontal="center" vertical="top"/>
    </xf>
    <xf numFmtId="0" fontId="7" fillId="2" borderId="5" xfId="1" applyFont="1" applyFill="1" applyBorder="1" applyAlignment="1">
      <alignment horizontal="center" vertical="top"/>
    </xf>
    <xf numFmtId="0" fontId="7" fillId="2" borderId="5" xfId="1" applyFont="1" applyFill="1" applyBorder="1" applyAlignment="1">
      <alignment horizontal="right" vertical="top"/>
    </xf>
    <xf numFmtId="0" fontId="8" fillId="0" borderId="17" xfId="1" applyFont="1" applyBorder="1" applyAlignment="1">
      <alignment horizontal="center" vertical="center"/>
    </xf>
    <xf numFmtId="0" fontId="8" fillId="0" borderId="17" xfId="1" applyFont="1" applyBorder="1" applyAlignment="1" applyProtection="1">
      <alignment horizontal="center" vertical="center"/>
      <protection locked="0"/>
    </xf>
    <xf numFmtId="0" fontId="8" fillId="0" borderId="20" xfId="1" applyFont="1" applyBorder="1" applyAlignment="1" applyProtection="1">
      <alignment horizontal="center" vertical="center"/>
      <protection locked="0"/>
    </xf>
    <xf numFmtId="0" fontId="8" fillId="0" borderId="23" xfId="1" applyFont="1" applyBorder="1" applyAlignment="1">
      <alignment horizontal="center" vertical="center"/>
    </xf>
    <xf numFmtId="0" fontId="8" fillId="0" borderId="25" xfId="1" applyFont="1" applyBorder="1" applyAlignment="1" applyProtection="1">
      <alignment horizontal="center" vertical="center"/>
      <protection locked="0"/>
    </xf>
    <xf numFmtId="0" fontId="8" fillId="0" borderId="23" xfId="1" applyFont="1" applyBorder="1" applyAlignment="1" applyProtection="1">
      <alignment horizontal="center" vertical="center"/>
      <protection locked="0"/>
    </xf>
    <xf numFmtId="0" fontId="8" fillId="0" borderId="30" xfId="1" applyFont="1" applyBorder="1" applyAlignment="1" applyProtection="1">
      <alignment horizontal="center" vertical="center"/>
      <protection locked="0"/>
    </xf>
    <xf numFmtId="0" fontId="8" fillId="0" borderId="32" xfId="1" applyFont="1" applyBorder="1" applyAlignment="1" applyProtection="1">
      <alignment horizontal="center" vertical="center"/>
      <protection locked="0"/>
    </xf>
    <xf numFmtId="0" fontId="8" fillId="0" borderId="33" xfId="1" applyFont="1" applyBorder="1" applyAlignment="1" applyProtection="1">
      <alignment horizontal="center" vertical="center"/>
      <protection locked="0"/>
    </xf>
    <xf numFmtId="0" fontId="8" fillId="0" borderId="35" xfId="1" applyFont="1" applyBorder="1" applyAlignment="1">
      <alignment horizontal="center" vertical="center"/>
    </xf>
    <xf numFmtId="0" fontId="8" fillId="0" borderId="36" xfId="1" applyFont="1" applyBorder="1" applyAlignment="1" applyProtection="1">
      <alignment horizontal="center" vertical="center"/>
      <protection locked="0"/>
    </xf>
    <xf numFmtId="0" fontId="8" fillId="0" borderId="37" xfId="1" applyFont="1" applyBorder="1" applyAlignment="1" applyProtection="1">
      <alignment horizontal="center" vertical="center"/>
      <protection locked="0"/>
    </xf>
    <xf numFmtId="49" fontId="7" fillId="2" borderId="10" xfId="1" applyNumberFormat="1" applyFont="1" applyFill="1" applyBorder="1" applyAlignment="1" applyProtection="1">
      <alignment vertical="top"/>
      <protection locked="0"/>
    </xf>
    <xf numFmtId="0" fontId="8" fillId="0" borderId="10" xfId="1" applyFont="1" applyBorder="1" applyAlignment="1" applyProtection="1">
      <alignment vertical="center"/>
      <protection locked="0"/>
    </xf>
    <xf numFmtId="0" fontId="7" fillId="2" borderId="10" xfId="1" applyFont="1" applyFill="1" applyBorder="1" applyAlignment="1" applyProtection="1">
      <alignment vertical="center" wrapText="1"/>
      <protection locked="0"/>
    </xf>
    <xf numFmtId="0" fontId="8" fillId="0" borderId="36" xfId="1" applyFont="1" applyBorder="1" applyAlignment="1">
      <alignment horizontal="center" vertical="center"/>
    </xf>
    <xf numFmtId="0" fontId="6" fillId="0" borderId="0" xfId="0" applyFont="1" applyAlignment="1">
      <alignment horizontal="center"/>
    </xf>
    <xf numFmtId="0" fontId="2" fillId="2" borderId="1" xfId="1" applyFont="1" applyFill="1" applyBorder="1" applyAlignment="1">
      <alignment vertical="center" wrapText="1"/>
    </xf>
    <xf numFmtId="0" fontId="2" fillId="2" borderId="2" xfId="1" applyFont="1" applyFill="1" applyBorder="1" applyAlignment="1">
      <alignment vertical="center" wrapText="1"/>
    </xf>
    <xf numFmtId="0" fontId="13" fillId="3" borderId="12" xfId="1" applyFont="1" applyFill="1" applyBorder="1" applyAlignment="1">
      <alignment horizontal="center" vertical="top"/>
    </xf>
    <xf numFmtId="0" fontId="14" fillId="3" borderId="8" xfId="1" applyFont="1" applyFill="1" applyBorder="1"/>
    <xf numFmtId="0" fontId="15" fillId="3" borderId="8" xfId="1" applyFont="1" applyFill="1" applyBorder="1"/>
    <xf numFmtId="49" fontId="13" fillId="3" borderId="12" xfId="1" applyNumberFormat="1" applyFont="1" applyFill="1" applyBorder="1" applyAlignment="1">
      <alignment horizontal="center"/>
    </xf>
    <xf numFmtId="0" fontId="14" fillId="3" borderId="8" xfId="1" applyFont="1" applyFill="1" applyBorder="1" applyAlignment="1">
      <alignment vertical="top"/>
    </xf>
    <xf numFmtId="0" fontId="15" fillId="3" borderId="8" xfId="1" applyFont="1" applyFill="1" applyBorder="1" applyAlignment="1">
      <alignment vertical="top"/>
    </xf>
    <xf numFmtId="0" fontId="13" fillId="3" borderId="12" xfId="1" applyFont="1" applyFill="1" applyBorder="1" applyAlignment="1">
      <alignment horizontal="center"/>
    </xf>
    <xf numFmtId="0" fontId="1" fillId="0" borderId="2" xfId="1" applyBorder="1" applyAlignment="1">
      <alignment horizontal="center"/>
    </xf>
    <xf numFmtId="0" fontId="7" fillId="0" borderId="0" xfId="1" applyFont="1" applyAlignment="1">
      <alignment horizontal="center" vertical="center"/>
    </xf>
    <xf numFmtId="0" fontId="7" fillId="2" borderId="0" xfId="1" applyFont="1" applyFill="1" applyAlignment="1">
      <alignment horizontal="right" vertical="top"/>
    </xf>
    <xf numFmtId="0" fontId="7" fillId="2" borderId="0" xfId="1" applyFont="1" applyFill="1" applyAlignment="1">
      <alignment horizontal="right" vertical="center"/>
    </xf>
    <xf numFmtId="0" fontId="13" fillId="3" borderId="43" xfId="1" applyFont="1" applyFill="1" applyBorder="1" applyAlignment="1">
      <alignment horizontal="center" vertical="center"/>
    </xf>
    <xf numFmtId="0" fontId="6" fillId="0" borderId="3" xfId="0" applyFont="1" applyBorder="1" applyAlignment="1">
      <alignment horizontal="center"/>
    </xf>
    <xf numFmtId="0" fontId="19" fillId="0" borderId="0" xfId="2" applyFont="1" applyAlignment="1">
      <alignment horizontal="center" vertical="center"/>
    </xf>
    <xf numFmtId="49" fontId="19" fillId="0" borderId="19" xfId="2" applyNumberFormat="1" applyFont="1" applyBorder="1" applyAlignment="1">
      <alignment horizontal="center" vertical="center"/>
    </xf>
    <xf numFmtId="14" fontId="19" fillId="0" borderId="17" xfId="2" applyNumberFormat="1" applyFont="1" applyBorder="1" applyAlignment="1">
      <alignment horizontal="center" vertical="center"/>
    </xf>
    <xf numFmtId="0" fontId="19" fillId="0" borderId="17" xfId="2" applyFont="1" applyBorder="1" applyAlignment="1">
      <alignment horizontal="center" vertical="center" wrapText="1"/>
    </xf>
    <xf numFmtId="0" fontId="19" fillId="0" borderId="17" xfId="2" applyFont="1" applyBorder="1" applyAlignment="1">
      <alignment horizontal="center" vertical="center"/>
    </xf>
    <xf numFmtId="0" fontId="20" fillId="0" borderId="0" xfId="3" applyFont="1"/>
    <xf numFmtId="0" fontId="21" fillId="0" borderId="0" xfId="3" applyFont="1"/>
    <xf numFmtId="0" fontId="20" fillId="0" borderId="0" xfId="3" applyFont="1" applyAlignment="1">
      <alignment vertical="center" wrapText="1"/>
    </xf>
    <xf numFmtId="0" fontId="20" fillId="0" borderId="0" xfId="3" applyFont="1" applyAlignment="1">
      <alignment vertical="center"/>
    </xf>
    <xf numFmtId="0" fontId="6" fillId="0" borderId="20" xfId="0" applyFont="1" applyBorder="1" applyAlignment="1">
      <alignment horizontal="center"/>
    </xf>
    <xf numFmtId="0" fontId="7" fillId="0" borderId="0" xfId="1" applyFont="1" applyAlignment="1">
      <alignment horizontal="right" vertical="center"/>
    </xf>
    <xf numFmtId="0" fontId="8" fillId="0" borderId="0" xfId="1" applyFont="1" applyAlignment="1" applyProtection="1">
      <alignment vertical="center"/>
      <protection locked="0"/>
    </xf>
    <xf numFmtId="0" fontId="1" fillId="3" borderId="8" xfId="1" applyFill="1" applyBorder="1"/>
    <xf numFmtId="0" fontId="7" fillId="2" borderId="0" xfId="1" applyFont="1" applyFill="1" applyAlignment="1" applyProtection="1">
      <alignment horizontal="right" vertical="center"/>
      <protection locked="0"/>
    </xf>
    <xf numFmtId="0" fontId="7" fillId="2" borderId="24" xfId="1" applyFont="1" applyFill="1" applyBorder="1" applyAlignment="1">
      <alignment horizontal="right" vertical="top"/>
    </xf>
    <xf numFmtId="0" fontId="7" fillId="2" borderId="24" xfId="1" applyFont="1" applyFill="1" applyBorder="1" applyAlignment="1" applyProtection="1">
      <alignment vertical="top"/>
      <protection locked="0"/>
    </xf>
    <xf numFmtId="0" fontId="6" fillId="0" borderId="1" xfId="0" applyFont="1" applyBorder="1"/>
    <xf numFmtId="0" fontId="9" fillId="0" borderId="5" xfId="1" applyFont="1" applyBorder="1" applyAlignment="1">
      <alignment vertical="center"/>
    </xf>
    <xf numFmtId="0" fontId="1" fillId="2" borderId="7" xfId="1" applyFill="1" applyBorder="1" applyAlignment="1">
      <alignment horizontal="left" vertical="top"/>
    </xf>
    <xf numFmtId="0" fontId="7" fillId="2" borderId="0" xfId="1" applyFont="1" applyFill="1" applyAlignment="1">
      <alignment horizontal="center" vertical="top"/>
    </xf>
    <xf numFmtId="0" fontId="7" fillId="2" borderId="0" xfId="1" applyFont="1" applyFill="1" applyAlignment="1">
      <alignment horizontal="center" vertical="center"/>
    </xf>
    <xf numFmtId="0" fontId="4" fillId="0" borderId="5" xfId="1" applyFont="1" applyBorder="1"/>
    <xf numFmtId="0" fontId="4" fillId="0" borderId="5" xfId="1" applyFont="1" applyBorder="1" applyAlignment="1">
      <alignment horizontal="center"/>
    </xf>
    <xf numFmtId="0" fontId="4" fillId="0" borderId="6" xfId="1" applyFont="1" applyBorder="1"/>
    <xf numFmtId="0" fontId="3" fillId="0" borderId="4" xfId="1" applyFont="1" applyBorder="1" applyAlignment="1">
      <alignment horizontal="center" vertical="center"/>
    </xf>
    <xf numFmtId="0" fontId="25" fillId="0" borderId="5" xfId="1" applyFont="1" applyBorder="1" applyAlignment="1">
      <alignment vertical="center"/>
    </xf>
    <xf numFmtId="0" fontId="3" fillId="0" borderId="4" xfId="1" applyFont="1" applyBorder="1" applyAlignment="1">
      <alignment vertical="center"/>
    </xf>
    <xf numFmtId="0" fontId="3" fillId="0" borderId="5" xfId="1" applyFont="1" applyBorder="1" applyAlignment="1">
      <alignment vertical="center"/>
    </xf>
    <xf numFmtId="0" fontId="12" fillId="0" borderId="5" xfId="1" applyFont="1" applyBorder="1" applyAlignment="1">
      <alignment horizontal="right"/>
    </xf>
    <xf numFmtId="0" fontId="5" fillId="0" borderId="5" xfId="1" applyFont="1" applyBorder="1" applyAlignment="1">
      <alignment horizontal="right" vertical="center"/>
    </xf>
    <xf numFmtId="0" fontId="8" fillId="0" borderId="5" xfId="1" applyFont="1" applyBorder="1" applyAlignment="1">
      <alignment horizontal="center"/>
    </xf>
    <xf numFmtId="0" fontId="6" fillId="0" borderId="6" xfId="0" applyFont="1" applyBorder="1" applyAlignment="1">
      <alignment horizontal="center"/>
    </xf>
    <xf numFmtId="0" fontId="4" fillId="0" borderId="4" xfId="1" applyFont="1" applyBorder="1"/>
    <xf numFmtId="0" fontId="6" fillId="0" borderId="7" xfId="0" applyFont="1" applyBorder="1"/>
    <xf numFmtId="0" fontId="7" fillId="4" borderId="5" xfId="1" applyFont="1" applyFill="1" applyBorder="1" applyAlignment="1">
      <alignment horizontal="right" vertical="top"/>
    </xf>
    <xf numFmtId="0" fontId="8" fillId="4" borderId="0" xfId="1" applyFont="1" applyFill="1" applyAlignment="1" applyProtection="1">
      <alignment vertical="center"/>
      <protection locked="0"/>
    </xf>
    <xf numFmtId="0" fontId="7" fillId="4" borderId="0" xfId="1" applyFont="1" applyFill="1" applyAlignment="1">
      <alignment horizontal="right" vertical="top"/>
    </xf>
    <xf numFmtId="0" fontId="27" fillId="0" borderId="20" xfId="0" applyFont="1" applyBorder="1" applyAlignment="1">
      <alignment horizontal="center"/>
    </xf>
    <xf numFmtId="0" fontId="27" fillId="0" borderId="0" xfId="0" applyFont="1"/>
    <xf numFmtId="0" fontId="26" fillId="0" borderId="33" xfId="1" applyFont="1" applyBorder="1" applyAlignment="1" applyProtection="1">
      <alignment horizontal="center" vertical="center"/>
      <protection locked="0"/>
    </xf>
    <xf numFmtId="0" fontId="8" fillId="4" borderId="46" xfId="1" applyFont="1" applyFill="1" applyBorder="1" applyAlignment="1" applyProtection="1">
      <alignment vertical="top"/>
      <protection locked="0"/>
    </xf>
    <xf numFmtId="0" fontId="8" fillId="4" borderId="28" xfId="1" applyFont="1" applyFill="1" applyBorder="1" applyAlignment="1" applyProtection="1">
      <alignment vertical="top"/>
      <protection locked="0"/>
    </xf>
    <xf numFmtId="0" fontId="8" fillId="4" borderId="47" xfId="1" applyFont="1" applyFill="1" applyBorder="1" applyAlignment="1" applyProtection="1">
      <alignment vertical="top"/>
      <protection locked="0"/>
    </xf>
    <xf numFmtId="0" fontId="8" fillId="4" borderId="11" xfId="1" applyFont="1" applyFill="1" applyBorder="1" applyAlignment="1" applyProtection="1">
      <alignment vertical="top"/>
      <protection locked="0"/>
    </xf>
    <xf numFmtId="0" fontId="8" fillId="4" borderId="6" xfId="1" applyFont="1" applyFill="1" applyBorder="1" applyAlignment="1" applyProtection="1">
      <alignment vertical="top"/>
      <protection locked="0"/>
    </xf>
    <xf numFmtId="0" fontId="7" fillId="4" borderId="18" xfId="1" applyFont="1" applyFill="1" applyBorder="1" applyAlignment="1">
      <alignment vertical="center"/>
    </xf>
    <xf numFmtId="0" fontId="8" fillId="4" borderId="18" xfId="1" applyFont="1" applyFill="1" applyBorder="1" applyAlignment="1">
      <alignment vertical="center"/>
    </xf>
    <xf numFmtId="0" fontId="8" fillId="4" borderId="34" xfId="1" applyFont="1" applyFill="1" applyBorder="1" applyAlignment="1">
      <alignment vertical="center"/>
    </xf>
    <xf numFmtId="0" fontId="7" fillId="4" borderId="17" xfId="1" applyFont="1" applyFill="1" applyBorder="1" applyAlignment="1">
      <alignment vertical="center"/>
    </xf>
    <xf numFmtId="0" fontId="8" fillId="4" borderId="17" xfId="1" applyFont="1" applyFill="1" applyBorder="1" applyAlignment="1">
      <alignment vertical="center"/>
    </xf>
    <xf numFmtId="0" fontId="8" fillId="4" borderId="50" xfId="1" applyFont="1" applyFill="1" applyBorder="1" applyAlignment="1">
      <alignment vertical="center"/>
    </xf>
    <xf numFmtId="0" fontId="7" fillId="3" borderId="8" xfId="1" applyFont="1" applyFill="1" applyBorder="1" applyAlignment="1">
      <alignment horizontal="center"/>
    </xf>
    <xf numFmtId="0" fontId="13" fillId="3" borderId="8" xfId="1" applyFont="1" applyFill="1" applyBorder="1" applyAlignment="1">
      <alignment horizontal="center" vertical="center"/>
    </xf>
    <xf numFmtId="0" fontId="22" fillId="4" borderId="23" xfId="1" applyFont="1" applyFill="1" applyBorder="1" applyAlignment="1">
      <alignment horizontal="left" vertical="top"/>
    </xf>
    <xf numFmtId="0" fontId="22" fillId="4" borderId="17" xfId="1" applyFont="1" applyFill="1" applyBorder="1" applyAlignment="1">
      <alignment horizontal="left" vertical="top"/>
    </xf>
    <xf numFmtId="0" fontId="24" fillId="4" borderId="17" xfId="1" applyFont="1" applyFill="1" applyBorder="1" applyAlignment="1">
      <alignment horizontal="left" vertical="top"/>
    </xf>
    <xf numFmtId="0" fontId="22" fillId="4" borderId="32" xfId="1" applyFont="1" applyFill="1" applyBorder="1" applyAlignment="1">
      <alignment horizontal="left" vertical="top"/>
    </xf>
    <xf numFmtId="0" fontId="13" fillId="8" borderId="17" xfId="1" applyFont="1" applyFill="1" applyBorder="1" applyAlignment="1">
      <alignment vertical="center"/>
    </xf>
    <xf numFmtId="0" fontId="8" fillId="0" borderId="17" xfId="1" applyFont="1" applyBorder="1" applyAlignment="1" applyProtection="1">
      <alignment horizontal="center" vertical="center" wrapText="1"/>
      <protection locked="0"/>
    </xf>
    <xf numFmtId="0" fontId="23" fillId="0" borderId="17" xfId="0" applyFont="1" applyBorder="1" applyAlignment="1">
      <alignment horizontal="center"/>
    </xf>
    <xf numFmtId="0" fontId="13" fillId="3" borderId="9" xfId="1" applyFont="1" applyFill="1" applyBorder="1" applyAlignment="1">
      <alignment horizontal="center" vertical="center"/>
    </xf>
    <xf numFmtId="0" fontId="13" fillId="3" borderId="8" xfId="1" applyFont="1" applyFill="1" applyBorder="1"/>
    <xf numFmtId="0" fontId="13" fillId="3" borderId="8" xfId="1" applyFont="1" applyFill="1" applyBorder="1" applyAlignment="1">
      <alignment horizontal="left" vertical="top"/>
    </xf>
    <xf numFmtId="0" fontId="13" fillId="3" borderId="8" xfId="1" applyFont="1" applyFill="1" applyBorder="1" applyAlignment="1">
      <alignment vertical="top"/>
    </xf>
    <xf numFmtId="0" fontId="8" fillId="4" borderId="48" xfId="1" applyFont="1" applyFill="1" applyBorder="1" applyAlignment="1" applyProtection="1">
      <alignment vertical="top"/>
      <protection locked="0"/>
    </xf>
    <xf numFmtId="0" fontId="13" fillId="3" borderId="14" xfId="1" applyFont="1" applyFill="1" applyBorder="1" applyAlignment="1">
      <alignment horizontal="center" wrapText="1"/>
    </xf>
    <xf numFmtId="0" fontId="13" fillId="3" borderId="15" xfId="1" applyFont="1" applyFill="1" applyBorder="1" applyAlignment="1">
      <alignment horizontal="center" vertical="center" wrapText="1"/>
    </xf>
    <xf numFmtId="0" fontId="8" fillId="0" borderId="17" xfId="1" applyFont="1" applyBorder="1" applyAlignment="1" applyProtection="1">
      <alignment horizontal="center" vertical="top" wrapText="1"/>
      <protection locked="0"/>
    </xf>
    <xf numFmtId="0" fontId="7" fillId="0" borderId="20" xfId="1" applyFont="1" applyBorder="1" applyAlignment="1" applyProtection="1">
      <alignment horizontal="center" vertical="top" wrapText="1"/>
      <protection locked="0"/>
    </xf>
    <xf numFmtId="0" fontId="7" fillId="0" borderId="17" xfId="1" applyFont="1" applyBorder="1" applyAlignment="1" applyProtection="1">
      <alignment horizontal="center" vertical="top" wrapText="1"/>
      <protection locked="0"/>
    </xf>
    <xf numFmtId="0" fontId="7" fillId="0" borderId="32" xfId="1" applyFont="1" applyBorder="1" applyAlignment="1" applyProtection="1">
      <alignment horizontal="center" vertical="top" wrapText="1"/>
      <protection locked="0"/>
    </xf>
    <xf numFmtId="0" fontId="7" fillId="0" borderId="33" xfId="1" applyFont="1" applyBorder="1" applyAlignment="1" applyProtection="1">
      <alignment horizontal="center" vertical="top" wrapText="1"/>
      <protection locked="0"/>
    </xf>
    <xf numFmtId="0" fontId="8" fillId="0" borderId="36" xfId="1" applyFont="1" applyBorder="1" applyAlignment="1" applyProtection="1">
      <alignment horizontal="center" vertical="top" wrapText="1"/>
      <protection locked="0"/>
    </xf>
    <xf numFmtId="0" fontId="7" fillId="0" borderId="37" xfId="1" applyFont="1" applyBorder="1" applyAlignment="1" applyProtection="1">
      <alignment horizontal="center" vertical="top" wrapText="1"/>
      <protection locked="0"/>
    </xf>
    <xf numFmtId="0" fontId="7" fillId="0" borderId="36" xfId="1" applyFont="1" applyBorder="1" applyAlignment="1" applyProtection="1">
      <alignment horizontal="center" vertical="top" wrapText="1"/>
      <protection locked="0"/>
    </xf>
    <xf numFmtId="0" fontId="26" fillId="0" borderId="17" xfId="1" applyFont="1" applyBorder="1" applyAlignment="1" applyProtection="1">
      <alignment horizontal="center" vertical="top" wrapText="1"/>
      <protection locked="0"/>
    </xf>
    <xf numFmtId="0" fontId="28" fillId="0" borderId="20" xfId="1" applyFont="1" applyBorder="1" applyAlignment="1" applyProtection="1">
      <alignment horizontal="center" vertical="top" wrapText="1"/>
      <protection locked="0"/>
    </xf>
    <xf numFmtId="0" fontId="28" fillId="0" borderId="32" xfId="1" applyFont="1" applyBorder="1" applyAlignment="1" applyProtection="1">
      <alignment horizontal="center" vertical="top" wrapText="1"/>
      <protection locked="0"/>
    </xf>
    <xf numFmtId="0" fontId="28" fillId="0" borderId="33" xfId="1" applyFont="1" applyBorder="1" applyAlignment="1" applyProtection="1">
      <alignment horizontal="center" vertical="top" wrapText="1"/>
      <protection locked="0"/>
    </xf>
    <xf numFmtId="0" fontId="8" fillId="0" borderId="39" xfId="1" applyFont="1" applyBorder="1" applyAlignment="1">
      <alignment horizontal="center" vertical="center"/>
    </xf>
    <xf numFmtId="0" fontId="7" fillId="2" borderId="10" xfId="1" applyFont="1" applyFill="1" applyBorder="1" applyAlignment="1" applyProtection="1">
      <alignment vertical="top"/>
      <protection locked="0"/>
    </xf>
    <xf numFmtId="0" fontId="30" fillId="0" borderId="7" xfId="0" applyFont="1" applyBorder="1"/>
    <xf numFmtId="0" fontId="30" fillId="0" borderId="0" xfId="0" applyFont="1"/>
    <xf numFmtId="0" fontId="6" fillId="9" borderId="0" xfId="0" applyFont="1" applyFill="1"/>
    <xf numFmtId="0" fontId="30" fillId="9" borderId="0" xfId="0" applyFont="1" applyFill="1"/>
    <xf numFmtId="0" fontId="27" fillId="9" borderId="0" xfId="0" applyFont="1" applyFill="1"/>
    <xf numFmtId="0" fontId="7" fillId="4" borderId="8" xfId="1" applyFont="1" applyFill="1" applyBorder="1" applyAlignment="1">
      <alignment horizontal="center" vertical="center"/>
    </xf>
    <xf numFmtId="0" fontId="13" fillId="4" borderId="17" xfId="1" applyFont="1" applyFill="1" applyBorder="1" applyAlignment="1">
      <alignment vertical="center"/>
    </xf>
    <xf numFmtId="0" fontId="7" fillId="4" borderId="14" xfId="1" applyFont="1" applyFill="1" applyBorder="1" applyAlignment="1">
      <alignment horizontal="center" vertical="center"/>
    </xf>
    <xf numFmtId="0" fontId="22" fillId="4" borderId="36" xfId="1" applyFont="1" applyFill="1" applyBorder="1" applyAlignment="1">
      <alignment horizontal="left" vertical="top"/>
    </xf>
    <xf numFmtId="0" fontId="22" fillId="4" borderId="17" xfId="1" applyFont="1" applyFill="1" applyBorder="1" applyAlignment="1">
      <alignment horizontal="left" vertical="center" wrapText="1"/>
    </xf>
    <xf numFmtId="0" fontId="8" fillId="4" borderId="36" xfId="1" applyFont="1" applyFill="1" applyBorder="1" applyAlignment="1">
      <alignment horizontal="left" vertical="top"/>
    </xf>
    <xf numFmtId="0" fontId="22" fillId="4" borderId="17" xfId="0" applyFont="1" applyFill="1" applyBorder="1" applyAlignment="1">
      <alignment horizontal="left"/>
    </xf>
    <xf numFmtId="0" fontId="12" fillId="0" borderId="11" xfId="1" applyFont="1" applyBorder="1" applyAlignment="1" applyProtection="1">
      <alignment vertical="center"/>
      <protection locked="0"/>
    </xf>
    <xf numFmtId="0" fontId="12" fillId="0" borderId="11" xfId="1" applyFont="1" applyBorder="1" applyProtection="1">
      <protection locked="0"/>
    </xf>
    <xf numFmtId="0" fontId="7" fillId="2" borderId="11" xfId="1" applyFont="1" applyFill="1" applyBorder="1" applyAlignment="1" applyProtection="1">
      <alignment vertical="top"/>
      <protection locked="0"/>
    </xf>
    <xf numFmtId="0" fontId="7" fillId="2" borderId="6" xfId="1" applyFont="1" applyFill="1" applyBorder="1" applyAlignment="1">
      <alignment horizontal="center" vertical="top"/>
    </xf>
    <xf numFmtId="0" fontId="7" fillId="2" borderId="24" xfId="1" applyFont="1" applyFill="1" applyBorder="1" applyAlignment="1" applyProtection="1">
      <alignment horizontal="right" vertical="top"/>
      <protection locked="0"/>
    </xf>
    <xf numFmtId="0" fontId="7" fillId="4" borderId="10" xfId="1" applyFont="1" applyFill="1" applyBorder="1" applyAlignment="1">
      <alignment horizontal="right" vertical="top"/>
    </xf>
    <xf numFmtId="0" fontId="7" fillId="2" borderId="10" xfId="1" applyFont="1" applyFill="1" applyBorder="1" applyAlignment="1" applyProtection="1">
      <alignment horizontal="right" vertical="top"/>
      <protection locked="0"/>
    </xf>
    <xf numFmtId="0" fontId="9" fillId="6" borderId="5" xfId="1" applyFont="1" applyFill="1" applyBorder="1" applyAlignment="1">
      <alignment vertical="center"/>
    </xf>
    <xf numFmtId="0" fontId="7" fillId="6" borderId="0" xfId="1" applyFont="1" applyFill="1" applyAlignment="1">
      <alignment horizontal="center" vertical="center"/>
    </xf>
    <xf numFmtId="0" fontId="8" fillId="6" borderId="10" xfId="1" applyFont="1" applyFill="1" applyBorder="1" applyAlignment="1" applyProtection="1">
      <alignment vertical="center"/>
      <protection locked="0"/>
    </xf>
    <xf numFmtId="0" fontId="7" fillId="6" borderId="0" xfId="1" applyFont="1" applyFill="1" applyAlignment="1" applyProtection="1">
      <alignment vertical="top"/>
      <protection locked="0"/>
    </xf>
    <xf numFmtId="0" fontId="7" fillId="6" borderId="52" xfId="1" applyFont="1" applyFill="1" applyBorder="1" applyAlignment="1" applyProtection="1">
      <alignment vertical="top"/>
      <protection locked="0"/>
    </xf>
    <xf numFmtId="0" fontId="7" fillId="6" borderId="51" xfId="1" applyFont="1" applyFill="1" applyBorder="1" applyAlignment="1" applyProtection="1">
      <alignment vertical="top"/>
      <protection locked="0"/>
    </xf>
    <xf numFmtId="0" fontId="7" fillId="6" borderId="5" xfId="1" applyFont="1" applyFill="1" applyBorder="1" applyAlignment="1">
      <alignment horizontal="center" vertical="top"/>
    </xf>
    <xf numFmtId="0" fontId="31" fillId="6" borderId="8" xfId="1" applyFont="1" applyFill="1" applyBorder="1" applyAlignment="1">
      <alignment horizontal="center" vertical="center"/>
    </xf>
    <xf numFmtId="0" fontId="8" fillId="6" borderId="36" xfId="1" applyFont="1" applyFill="1" applyBorder="1" applyAlignment="1" applyProtection="1">
      <alignment horizontal="center" vertical="center"/>
      <protection locked="0"/>
    </xf>
    <xf numFmtId="0" fontId="8" fillId="6" borderId="17" xfId="1" applyFont="1" applyFill="1" applyBorder="1" applyAlignment="1" applyProtection="1">
      <alignment horizontal="center" vertical="center"/>
      <protection locked="0"/>
    </xf>
    <xf numFmtId="0" fontId="8" fillId="6" borderId="23" xfId="1" applyFont="1" applyFill="1" applyBorder="1" applyAlignment="1" applyProtection="1">
      <alignment horizontal="center" vertical="center"/>
      <protection locked="0"/>
    </xf>
    <xf numFmtId="0" fontId="8" fillId="6" borderId="32" xfId="1" applyFont="1" applyFill="1" applyBorder="1" applyAlignment="1" applyProtection="1">
      <alignment horizontal="center" vertical="center"/>
      <protection locked="0"/>
    </xf>
    <xf numFmtId="0" fontId="8" fillId="6" borderId="27" xfId="1" applyFont="1" applyFill="1" applyBorder="1" applyAlignment="1" applyProtection="1">
      <alignment vertical="top"/>
      <protection locked="0"/>
    </xf>
    <xf numFmtId="0" fontId="8" fillId="6" borderId="0" xfId="1" applyFont="1" applyFill="1" applyAlignment="1" applyProtection="1">
      <alignment vertical="top"/>
      <protection locked="0"/>
    </xf>
    <xf numFmtId="0" fontId="8" fillId="6" borderId="5" xfId="1" applyFont="1" applyFill="1" applyBorder="1" applyAlignment="1" applyProtection="1">
      <alignment vertical="top"/>
      <protection locked="0"/>
    </xf>
    <xf numFmtId="0" fontId="13" fillId="6" borderId="8" xfId="1" applyFont="1" applyFill="1" applyBorder="1" applyAlignment="1">
      <alignment horizontal="center" vertical="center"/>
    </xf>
    <xf numFmtId="0" fontId="8" fillId="6" borderId="39" xfId="1" applyFont="1" applyFill="1" applyBorder="1" applyAlignment="1" applyProtection="1">
      <alignment horizontal="center" vertical="center"/>
      <protection locked="0"/>
    </xf>
    <xf numFmtId="0" fontId="26" fillId="6" borderId="32" xfId="1" applyFont="1" applyFill="1" applyBorder="1" applyAlignment="1" applyProtection="1">
      <alignment horizontal="center" vertical="center"/>
      <protection locked="0"/>
    </xf>
    <xf numFmtId="0" fontId="27" fillId="6" borderId="17" xfId="0" applyFont="1" applyFill="1" applyBorder="1" applyAlignment="1">
      <alignment horizontal="center"/>
    </xf>
    <xf numFmtId="0" fontId="6" fillId="6" borderId="17" xfId="0" applyFont="1" applyFill="1" applyBorder="1" applyAlignment="1">
      <alignment horizontal="center"/>
    </xf>
    <xf numFmtId="0" fontId="6" fillId="6" borderId="0" xfId="0" applyFont="1" applyFill="1"/>
    <xf numFmtId="0" fontId="32" fillId="6" borderId="0" xfId="0" applyFont="1" applyFill="1" applyAlignment="1">
      <alignment horizontal="center"/>
    </xf>
    <xf numFmtId="14" fontId="7" fillId="2" borderId="10" xfId="1" applyNumberFormat="1" applyFont="1" applyFill="1" applyBorder="1" applyAlignment="1">
      <alignment horizontal="left" vertical="top"/>
    </xf>
    <xf numFmtId="0" fontId="22" fillId="4" borderId="17" xfId="1" applyFont="1" applyFill="1" applyBorder="1" applyAlignment="1">
      <alignment horizontal="left" vertical="top" wrapText="1"/>
    </xf>
    <xf numFmtId="0" fontId="6" fillId="0" borderId="21" xfId="0" applyFont="1" applyBorder="1"/>
    <xf numFmtId="0" fontId="22" fillId="10" borderId="17" xfId="1" applyFont="1" applyFill="1" applyBorder="1" applyAlignment="1">
      <alignment horizontal="left" vertical="top" wrapText="1"/>
    </xf>
    <xf numFmtId="0" fontId="22" fillId="10" borderId="17" xfId="1" applyFont="1" applyFill="1" applyBorder="1" applyAlignment="1">
      <alignment horizontal="left" vertical="center" wrapText="1"/>
    </xf>
    <xf numFmtId="0" fontId="22" fillId="10" borderId="17" xfId="1" applyFont="1" applyFill="1" applyBorder="1" applyAlignment="1">
      <alignment horizontal="left" vertical="top"/>
    </xf>
    <xf numFmtId="0" fontId="6" fillId="10" borderId="17" xfId="0" applyFont="1" applyFill="1" applyBorder="1"/>
    <xf numFmtId="0" fontId="8" fillId="10" borderId="17" xfId="1" applyFont="1" applyFill="1" applyBorder="1" applyAlignment="1" applyProtection="1">
      <alignment horizontal="center" vertical="center"/>
      <protection locked="0"/>
    </xf>
    <xf numFmtId="0" fontId="8" fillId="10" borderId="17" xfId="1" applyFont="1" applyFill="1" applyBorder="1" applyAlignment="1" applyProtection="1">
      <alignment horizontal="center" vertical="center" wrapText="1"/>
      <protection locked="0"/>
    </xf>
    <xf numFmtId="0" fontId="22" fillId="10" borderId="50" xfId="1" applyFont="1" applyFill="1" applyBorder="1" applyAlignment="1">
      <alignment horizontal="left" vertical="top"/>
    </xf>
    <xf numFmtId="0" fontId="8" fillId="10" borderId="50" xfId="1" applyFont="1" applyFill="1" applyBorder="1" applyAlignment="1" applyProtection="1">
      <alignment horizontal="center" vertical="center"/>
      <protection locked="0"/>
    </xf>
    <xf numFmtId="14" fontId="7" fillId="2" borderId="24" xfId="1" applyNumberFormat="1" applyFont="1" applyFill="1" applyBorder="1" applyAlignment="1">
      <alignment horizontal="left" vertical="top"/>
    </xf>
    <xf numFmtId="0" fontId="6" fillId="0" borderId="17" xfId="0" applyFont="1" applyBorder="1"/>
    <xf numFmtId="0" fontId="8" fillId="4" borderId="18" xfId="1" applyFont="1" applyFill="1" applyBorder="1" applyAlignment="1">
      <alignment horizontal="left" vertical="center" wrapText="1"/>
    </xf>
    <xf numFmtId="0" fontId="10" fillId="0" borderId="17" xfId="0" applyFont="1" applyBorder="1" applyAlignment="1">
      <alignment horizontal="center" vertical="center"/>
    </xf>
    <xf numFmtId="0" fontId="8" fillId="0" borderId="20" xfId="1" applyFont="1" applyBorder="1" applyAlignment="1" applyProtection="1">
      <alignment horizontal="center" vertical="center" wrapText="1"/>
      <protection locked="0"/>
    </xf>
    <xf numFmtId="0" fontId="10" fillId="4" borderId="18" xfId="0" applyFont="1" applyFill="1" applyBorder="1" applyAlignment="1">
      <alignment vertical="center" wrapText="1"/>
    </xf>
    <xf numFmtId="0" fontId="10" fillId="0" borderId="21" xfId="0" applyFont="1" applyBorder="1" applyAlignment="1">
      <alignment vertical="center"/>
    </xf>
    <xf numFmtId="0" fontId="10" fillId="10" borderId="17" xfId="0" applyFont="1" applyFill="1" applyBorder="1" applyAlignment="1">
      <alignment vertical="center"/>
    </xf>
    <xf numFmtId="0" fontId="10" fillId="10" borderId="45" xfId="0" applyFont="1" applyFill="1" applyBorder="1" applyAlignment="1">
      <alignment vertical="center"/>
    </xf>
    <xf numFmtId="0" fontId="8" fillId="4" borderId="17" xfId="1" applyFont="1" applyFill="1" applyBorder="1" applyAlignment="1">
      <alignment horizontal="left" vertical="center" wrapText="1"/>
    </xf>
    <xf numFmtId="0" fontId="10" fillId="0" borderId="17" xfId="0" applyFont="1" applyBorder="1" applyAlignment="1">
      <alignment horizontal="center" vertical="center" wrapText="1"/>
    </xf>
    <xf numFmtId="0" fontId="8" fillId="10" borderId="17" xfId="1" applyFont="1" applyFill="1" applyBorder="1" applyAlignment="1">
      <alignment horizontal="left" vertical="center"/>
    </xf>
    <xf numFmtId="0" fontId="10" fillId="10" borderId="17" xfId="0" applyFont="1" applyFill="1" applyBorder="1" applyAlignment="1">
      <alignment horizontal="center" vertical="center"/>
    </xf>
    <xf numFmtId="0" fontId="22" fillId="10" borderId="36" xfId="1" applyFont="1" applyFill="1" applyBorder="1" applyAlignment="1">
      <alignment horizontal="left" vertical="center" wrapText="1"/>
    </xf>
    <xf numFmtId="0" fontId="8" fillId="0" borderId="23" xfId="1" applyFont="1" applyBorder="1" applyAlignment="1" applyProtection="1">
      <alignment horizontal="center" vertical="center" wrapText="1"/>
      <protection locked="0"/>
    </xf>
    <xf numFmtId="0" fontId="8" fillId="0" borderId="36" xfId="1" applyFont="1" applyBorder="1" applyAlignment="1" applyProtection="1">
      <alignment horizontal="center" vertical="center" wrapText="1"/>
      <protection locked="0"/>
    </xf>
    <xf numFmtId="0" fontId="10" fillId="0" borderId="17" xfId="0" applyFont="1" applyBorder="1" applyAlignment="1">
      <alignment vertical="center"/>
    </xf>
    <xf numFmtId="0" fontId="22" fillId="10" borderId="17" xfId="1" applyFont="1" applyFill="1" applyBorder="1" applyAlignment="1">
      <alignment horizontal="left" vertical="center"/>
    </xf>
    <xf numFmtId="0" fontId="8" fillId="0" borderId="37" xfId="1" applyFont="1" applyBorder="1" applyAlignment="1" applyProtection="1">
      <alignment horizontal="center" vertical="center" wrapText="1"/>
      <protection locked="0"/>
    </xf>
    <xf numFmtId="0" fontId="8" fillId="10" borderId="36" xfId="1" applyFont="1" applyFill="1" applyBorder="1" applyAlignment="1">
      <alignment horizontal="left" vertical="top"/>
    </xf>
    <xf numFmtId="0" fontId="6" fillId="0" borderId="44" xfId="0" applyFont="1" applyBorder="1"/>
    <xf numFmtId="0" fontId="6" fillId="0" borderId="55" xfId="0" applyFont="1" applyBorder="1"/>
    <xf numFmtId="0" fontId="7" fillId="0" borderId="23" xfId="1" applyFont="1" applyBorder="1" applyAlignment="1" applyProtection="1">
      <alignment horizontal="left" vertical="center" wrapText="1"/>
      <protection locked="0"/>
    </xf>
    <xf numFmtId="0" fontId="7" fillId="0" borderId="17" xfId="1" applyFont="1" applyBorder="1" applyAlignment="1" applyProtection="1">
      <alignment horizontal="left" vertical="center" wrapText="1"/>
      <protection locked="0"/>
    </xf>
    <xf numFmtId="0" fontId="8" fillId="4" borderId="35" xfId="1" applyFont="1" applyFill="1" applyBorder="1" applyAlignment="1">
      <alignment horizontal="left" vertical="center" wrapText="1"/>
    </xf>
    <xf numFmtId="0" fontId="6" fillId="10" borderId="36" xfId="0" applyFont="1" applyFill="1" applyBorder="1" applyAlignment="1">
      <alignment vertical="center"/>
    </xf>
    <xf numFmtId="0" fontId="6" fillId="10" borderId="17" xfId="0" applyFont="1" applyFill="1" applyBorder="1" applyAlignment="1">
      <alignment vertical="center"/>
    </xf>
    <xf numFmtId="0" fontId="7" fillId="0" borderId="53" xfId="1" applyFont="1" applyBorder="1" applyAlignment="1" applyProtection="1">
      <alignment horizontal="left" vertical="center" wrapText="1"/>
      <protection locked="0"/>
    </xf>
    <xf numFmtId="0" fontId="7" fillId="0" borderId="21" xfId="1" applyFont="1" applyBorder="1" applyAlignment="1" applyProtection="1">
      <alignment horizontal="left" vertical="center" wrapText="1"/>
      <protection locked="0"/>
    </xf>
    <xf numFmtId="0" fontId="28" fillId="0" borderId="56" xfId="1" applyFont="1" applyBorder="1" applyAlignment="1" applyProtection="1">
      <alignment horizontal="left" vertical="center" wrapText="1"/>
      <protection locked="0"/>
    </xf>
    <xf numFmtId="0" fontId="22" fillId="10" borderId="50" xfId="1" applyFont="1" applyFill="1" applyBorder="1" applyAlignment="1">
      <alignment horizontal="left" vertical="center"/>
    </xf>
    <xf numFmtId="0" fontId="10" fillId="10" borderId="17" xfId="0" applyFont="1" applyFill="1" applyBorder="1" applyAlignment="1">
      <alignment horizontal="center" vertical="center" wrapText="1"/>
    </xf>
    <xf numFmtId="0" fontId="8" fillId="10" borderId="20" xfId="1" applyFont="1" applyFill="1" applyBorder="1" applyAlignment="1" applyProtection="1">
      <alignment horizontal="center" vertical="center" wrapText="1"/>
      <protection locked="0"/>
    </xf>
    <xf numFmtId="0" fontId="8" fillId="10" borderId="50" xfId="1" applyFont="1" applyFill="1" applyBorder="1" applyAlignment="1" applyProtection="1">
      <alignment horizontal="center" vertical="center" wrapText="1"/>
      <protection locked="0"/>
    </xf>
    <xf numFmtId="0" fontId="8" fillId="10" borderId="57" xfId="1" applyFont="1" applyFill="1" applyBorder="1" applyAlignment="1" applyProtection="1">
      <alignment horizontal="center" vertical="center" wrapText="1"/>
      <protection locked="0"/>
    </xf>
    <xf numFmtId="0" fontId="8" fillId="10" borderId="50" xfId="0" applyFont="1" applyFill="1" applyBorder="1" applyAlignment="1">
      <alignment horizontal="center" vertical="center"/>
    </xf>
    <xf numFmtId="0" fontId="7" fillId="0" borderId="17" xfId="1" applyFont="1" applyBorder="1" applyAlignment="1" applyProtection="1">
      <alignment horizontal="left" vertical="top" wrapText="1"/>
      <protection locked="0"/>
    </xf>
    <xf numFmtId="0" fontId="7" fillId="0" borderId="55" xfId="1" applyFont="1" applyBorder="1" applyAlignment="1" applyProtection="1">
      <alignment horizontal="left" vertical="center" wrapText="1"/>
      <protection locked="0"/>
    </xf>
    <xf numFmtId="0" fontId="28" fillId="0" borderId="21" xfId="1" applyFont="1" applyBorder="1" applyAlignment="1" applyProtection="1">
      <alignment horizontal="left" vertical="center" wrapText="1"/>
      <protection locked="0"/>
    </xf>
    <xf numFmtId="0" fontId="28" fillId="0" borderId="56" xfId="1" applyFont="1" applyBorder="1" applyAlignment="1" applyProtection="1">
      <alignment horizontal="center" vertical="center" wrapText="1"/>
      <protection locked="0"/>
    </xf>
    <xf numFmtId="0" fontId="7" fillId="0" borderId="44" xfId="1" applyFont="1" applyBorder="1" applyAlignment="1" applyProtection="1">
      <alignment horizontal="left" vertical="center" wrapText="1"/>
      <protection locked="0"/>
    </xf>
    <xf numFmtId="0" fontId="7" fillId="10" borderId="10" xfId="1" applyFont="1" applyFill="1" applyBorder="1" applyAlignment="1">
      <alignment horizontal="right" vertical="top"/>
    </xf>
    <xf numFmtId="0" fontId="7" fillId="10" borderId="0" xfId="1" applyFont="1" applyFill="1" applyAlignment="1">
      <alignment horizontal="right" vertical="top"/>
    </xf>
    <xf numFmtId="0" fontId="10" fillId="4" borderId="41" xfId="0" applyFont="1" applyFill="1" applyBorder="1" applyAlignment="1">
      <alignment vertical="center" wrapText="1"/>
    </xf>
    <xf numFmtId="0" fontId="10" fillId="0" borderId="53" xfId="0" applyFont="1" applyBorder="1" applyAlignment="1">
      <alignment vertical="center"/>
    </xf>
    <xf numFmtId="0" fontId="10" fillId="10" borderId="23" xfId="0" applyFont="1" applyFill="1" applyBorder="1" applyAlignment="1">
      <alignment vertical="center"/>
    </xf>
    <xf numFmtId="0" fontId="10" fillId="0" borderId="23" xfId="0" applyFont="1" applyBorder="1" applyAlignment="1">
      <alignment horizontal="center" vertical="center"/>
    </xf>
    <xf numFmtId="0" fontId="8" fillId="0" borderId="30" xfId="1" applyFont="1" applyBorder="1" applyAlignment="1" applyProtection="1">
      <alignment horizontal="center" vertical="center" wrapText="1"/>
      <protection locked="0"/>
    </xf>
    <xf numFmtId="0" fontId="7" fillId="2" borderId="0" xfId="1" applyFont="1" applyFill="1" applyAlignment="1" applyProtection="1">
      <alignment vertical="top"/>
      <protection locked="0"/>
    </xf>
    <xf numFmtId="0" fontId="12" fillId="0" borderId="0" xfId="1" applyFont="1" applyAlignment="1" applyProtection="1">
      <alignment vertical="center"/>
      <protection locked="0"/>
    </xf>
    <xf numFmtId="0" fontId="12" fillId="0" borderId="0" xfId="1" applyFont="1" applyProtection="1">
      <protection locked="0"/>
    </xf>
    <xf numFmtId="0" fontId="6" fillId="0" borderId="11" xfId="0" applyFont="1" applyBorder="1" applyAlignment="1">
      <alignment horizontal="center"/>
    </xf>
    <xf numFmtId="0" fontId="1" fillId="2" borderId="7" xfId="1" applyFill="1" applyBorder="1" applyAlignment="1">
      <alignment vertical="top" wrapText="1"/>
    </xf>
    <xf numFmtId="0" fontId="0" fillId="0" borderId="0" xfId="0" applyAlignment="1">
      <alignment vertical="top" wrapText="1"/>
    </xf>
    <xf numFmtId="0" fontId="8" fillId="4" borderId="23" xfId="1" applyFont="1" applyFill="1" applyBorder="1" applyAlignment="1">
      <alignment horizontal="left" vertical="center" wrapText="1"/>
    </xf>
    <xf numFmtId="0" fontId="10" fillId="0" borderId="23" xfId="0" applyFont="1" applyBorder="1" applyAlignment="1">
      <alignment vertical="center"/>
    </xf>
    <xf numFmtId="0" fontId="22" fillId="10" borderId="23" xfId="1" applyFont="1" applyFill="1" applyBorder="1" applyAlignment="1">
      <alignment horizontal="left" vertical="center" wrapText="1"/>
    </xf>
    <xf numFmtId="0" fontId="8" fillId="10" borderId="23" xfId="1" applyFont="1" applyFill="1" applyBorder="1" applyAlignment="1" applyProtection="1">
      <alignment horizontal="center" vertical="center"/>
      <protection locked="0"/>
    </xf>
    <xf numFmtId="0" fontId="8" fillId="4" borderId="46" xfId="1" applyFont="1" applyFill="1" applyBorder="1" applyAlignment="1">
      <alignment horizontal="left" vertical="center" wrapText="1"/>
    </xf>
    <xf numFmtId="0" fontId="7" fillId="0" borderId="56" xfId="1" applyFont="1" applyBorder="1" applyAlignment="1" applyProtection="1">
      <alignment horizontal="left" vertical="center" wrapText="1"/>
      <protection locked="0"/>
    </xf>
    <xf numFmtId="0" fontId="8" fillId="4" borderId="41" xfId="1" applyFont="1" applyFill="1" applyBorder="1" applyAlignment="1">
      <alignment horizontal="left" vertical="center" wrapText="1"/>
    </xf>
    <xf numFmtId="0" fontId="8" fillId="10" borderId="32" xfId="1" applyFont="1" applyFill="1" applyBorder="1" applyAlignment="1" applyProtection="1">
      <alignment horizontal="center" vertical="center" wrapText="1"/>
      <protection locked="0"/>
    </xf>
    <xf numFmtId="0" fontId="8" fillId="0" borderId="32" xfId="1" applyFont="1" applyBorder="1" applyAlignment="1" applyProtection="1">
      <alignment horizontal="center" vertical="center" wrapText="1"/>
      <protection locked="0"/>
    </xf>
    <xf numFmtId="0" fontId="8" fillId="0" borderId="53" xfId="1" applyFont="1" applyBorder="1" applyAlignment="1">
      <alignment horizontal="center" vertical="center"/>
    </xf>
    <xf numFmtId="0" fontId="8" fillId="0" borderId="21" xfId="1" applyFont="1" applyBorder="1" applyAlignment="1">
      <alignment horizontal="center" vertical="center"/>
    </xf>
    <xf numFmtId="0" fontId="8" fillId="10" borderId="2" xfId="1" applyFont="1" applyFill="1" applyBorder="1" applyAlignment="1">
      <alignment horizontal="center" vertical="center"/>
    </xf>
    <xf numFmtId="0" fontId="8" fillId="10" borderId="10" xfId="1" applyFont="1" applyFill="1" applyBorder="1" applyAlignment="1">
      <alignment horizontal="center" vertical="center"/>
    </xf>
    <xf numFmtId="0" fontId="6" fillId="0" borderId="32" xfId="0" applyFont="1" applyBorder="1"/>
    <xf numFmtId="0" fontId="10" fillId="0" borderId="32" xfId="0" applyFont="1" applyBorder="1" applyAlignment="1">
      <alignment horizontal="center" vertical="center"/>
    </xf>
    <xf numFmtId="0" fontId="8" fillId="10" borderId="0" xfId="1" applyFont="1" applyFill="1" applyAlignment="1">
      <alignment horizontal="center" vertical="center"/>
    </xf>
    <xf numFmtId="0" fontId="7" fillId="10" borderId="0" xfId="1" applyFont="1" applyFill="1" applyAlignment="1">
      <alignment vertical="center"/>
    </xf>
    <xf numFmtId="0" fontId="8" fillId="10" borderId="0" xfId="1" applyFont="1" applyFill="1" applyAlignment="1">
      <alignment vertical="center"/>
    </xf>
    <xf numFmtId="0" fontId="6" fillId="10" borderId="27" xfId="0" applyFont="1" applyFill="1" applyBorder="1" applyAlignment="1">
      <alignment horizontal="center"/>
    </xf>
    <xf numFmtId="0" fontId="8" fillId="10" borderId="27" xfId="1" applyFont="1" applyFill="1" applyBorder="1" applyAlignment="1">
      <alignment horizontal="center" vertical="center"/>
    </xf>
    <xf numFmtId="0" fontId="8" fillId="10" borderId="10" xfId="1" applyFont="1" applyFill="1" applyBorder="1" applyAlignment="1">
      <alignment vertical="center"/>
    </xf>
    <xf numFmtId="0" fontId="7" fillId="10" borderId="10" xfId="1" applyFont="1" applyFill="1" applyBorder="1" applyAlignment="1">
      <alignment vertical="center"/>
    </xf>
    <xf numFmtId="0" fontId="42" fillId="10" borderId="27" xfId="1" applyFont="1" applyFill="1" applyBorder="1" applyAlignment="1">
      <alignment vertical="center"/>
    </xf>
    <xf numFmtId="0" fontId="8" fillId="0" borderId="56" xfId="1" applyFont="1" applyBorder="1" applyAlignment="1">
      <alignment horizontal="center" vertical="center"/>
    </xf>
    <xf numFmtId="0" fontId="6" fillId="0" borderId="28" xfId="0" applyFont="1" applyBorder="1" applyAlignment="1">
      <alignment horizontal="center"/>
    </xf>
    <xf numFmtId="0" fontId="6" fillId="10" borderId="0" xfId="0" applyFont="1" applyFill="1"/>
    <xf numFmtId="0" fontId="8" fillId="0" borderId="38" xfId="1" applyFont="1" applyBorder="1" applyAlignment="1">
      <alignment horizontal="center" vertical="center"/>
    </xf>
    <xf numFmtId="0" fontId="8" fillId="0" borderId="24" xfId="1" applyFont="1" applyBorder="1" applyAlignment="1">
      <alignment horizontal="center" vertical="center"/>
    </xf>
    <xf numFmtId="0" fontId="8" fillId="0" borderId="40" xfId="1" applyFont="1" applyBorder="1" applyAlignment="1">
      <alignment horizontal="center" vertical="center"/>
    </xf>
    <xf numFmtId="0" fontId="8" fillId="0" borderId="55" xfId="1" applyFont="1" applyBorder="1" applyAlignment="1">
      <alignment horizontal="center" vertical="center"/>
    </xf>
    <xf numFmtId="0" fontId="8" fillId="0" borderId="44" xfId="1" applyFont="1" applyBorder="1" applyAlignment="1">
      <alignment horizontal="center" vertical="center"/>
    </xf>
    <xf numFmtId="0" fontId="6" fillId="10" borderId="55" xfId="0" applyFont="1" applyFill="1" applyBorder="1" applyAlignment="1">
      <alignment vertical="center"/>
    </xf>
    <xf numFmtId="0" fontId="6" fillId="10" borderId="21" xfId="0" applyFont="1" applyFill="1" applyBorder="1" applyAlignment="1">
      <alignment vertical="center"/>
    </xf>
    <xf numFmtId="0" fontId="22" fillId="10" borderId="21" xfId="1" applyFont="1" applyFill="1" applyBorder="1" applyAlignment="1">
      <alignment horizontal="left" vertical="center"/>
    </xf>
    <xf numFmtId="0" fontId="22" fillId="10" borderId="44" xfId="1" applyFont="1" applyFill="1" applyBorder="1" applyAlignment="1">
      <alignment horizontal="left" vertical="center"/>
    </xf>
    <xf numFmtId="0" fontId="42" fillId="10" borderId="2" xfId="1" applyFont="1" applyFill="1" applyBorder="1" applyAlignment="1">
      <alignment vertical="center"/>
    </xf>
    <xf numFmtId="0" fontId="6" fillId="10" borderId="2" xfId="0" applyFont="1" applyFill="1" applyBorder="1" applyAlignment="1">
      <alignment horizontal="center"/>
    </xf>
    <xf numFmtId="0" fontId="8" fillId="10" borderId="5" xfId="1" applyFont="1" applyFill="1" applyBorder="1" applyAlignment="1">
      <alignment horizontal="center" vertical="center"/>
    </xf>
    <xf numFmtId="0" fontId="8" fillId="10" borderId="5" xfId="1" applyFont="1" applyFill="1" applyBorder="1" applyAlignment="1">
      <alignment vertical="center"/>
    </xf>
    <xf numFmtId="0" fontId="7" fillId="10" borderId="5" xfId="1" applyFont="1" applyFill="1" applyBorder="1" applyAlignment="1">
      <alignment vertical="center"/>
    </xf>
    <xf numFmtId="0" fontId="10" fillId="0" borderId="58" xfId="0" applyFont="1" applyBorder="1" applyAlignment="1">
      <alignment vertical="center"/>
    </xf>
    <xf numFmtId="0" fontId="6" fillId="0" borderId="36" xfId="0" applyFont="1" applyBorder="1"/>
    <xf numFmtId="0" fontId="6" fillId="0" borderId="50" xfId="0" applyFont="1" applyBorder="1"/>
    <xf numFmtId="0" fontId="7" fillId="0" borderId="55" xfId="1" applyFont="1" applyBorder="1" applyAlignment="1" applyProtection="1">
      <alignment horizontal="left" vertical="top" wrapText="1"/>
      <protection locked="0"/>
    </xf>
    <xf numFmtId="0" fontId="7" fillId="0" borderId="21" xfId="1" applyFont="1" applyBorder="1" applyAlignment="1" applyProtection="1">
      <alignment horizontal="left" vertical="top" wrapText="1"/>
      <protection locked="0"/>
    </xf>
    <xf numFmtId="0" fontId="7" fillId="0" borderId="44" xfId="1" applyFont="1" applyBorder="1" applyAlignment="1" applyProtection="1">
      <alignment horizontal="left" vertical="top" wrapText="1"/>
      <protection locked="0"/>
    </xf>
    <xf numFmtId="0" fontId="8" fillId="10" borderId="36" xfId="1" applyFont="1" applyFill="1" applyBorder="1" applyAlignment="1" applyProtection="1">
      <alignment horizontal="center" vertical="center" wrapText="1"/>
      <protection locked="0"/>
    </xf>
    <xf numFmtId="0" fontId="8" fillId="10" borderId="37" xfId="1" applyFont="1" applyFill="1" applyBorder="1" applyAlignment="1" applyProtection="1">
      <alignment horizontal="center" vertical="center" wrapText="1"/>
      <protection locked="0"/>
    </xf>
    <xf numFmtId="0" fontId="39" fillId="4" borderId="18" xfId="0" applyFont="1" applyFill="1" applyBorder="1" applyAlignment="1">
      <alignment vertical="center" wrapText="1"/>
    </xf>
    <xf numFmtId="0" fontId="8" fillId="0" borderId="58" xfId="1" applyFont="1" applyBorder="1" applyAlignment="1">
      <alignment horizontal="center" vertical="center"/>
    </xf>
    <xf numFmtId="0" fontId="0" fillId="10" borderId="3" xfId="0" applyFill="1" applyBorder="1"/>
    <xf numFmtId="0" fontId="0" fillId="10" borderId="11" xfId="0" applyFill="1" applyBorder="1"/>
    <xf numFmtId="0" fontId="0" fillId="10" borderId="72" xfId="0" applyFill="1" applyBorder="1"/>
    <xf numFmtId="0" fontId="0" fillId="10" borderId="28" xfId="0" applyFill="1" applyBorder="1"/>
    <xf numFmtId="0" fontId="0" fillId="10" borderId="6" xfId="0" applyFill="1" applyBorder="1"/>
    <xf numFmtId="0" fontId="40" fillId="10" borderId="54" xfId="0" applyFont="1" applyFill="1" applyBorder="1"/>
    <xf numFmtId="0" fontId="40" fillId="10" borderId="58" xfId="0" applyFont="1" applyFill="1" applyBorder="1"/>
    <xf numFmtId="0" fontId="40" fillId="10" borderId="53" xfId="0" applyFont="1" applyFill="1" applyBorder="1"/>
    <xf numFmtId="0" fontId="40" fillId="10" borderId="56" xfId="0" applyFont="1" applyFill="1" applyBorder="1"/>
    <xf numFmtId="0" fontId="40" fillId="10" borderId="61" xfId="0" applyFont="1" applyFill="1" applyBorder="1"/>
    <xf numFmtId="0" fontId="7" fillId="4" borderId="17" xfId="1" applyFont="1" applyFill="1" applyBorder="1" applyAlignment="1">
      <alignment horizontal="left" vertical="center" wrapText="1"/>
    </xf>
    <xf numFmtId="0" fontId="7" fillId="4" borderId="18" xfId="1" applyFont="1" applyFill="1" applyBorder="1" applyAlignment="1">
      <alignment horizontal="left" vertical="center" wrapText="1"/>
    </xf>
    <xf numFmtId="0" fontId="7" fillId="4" borderId="18" xfId="1" applyFont="1" applyFill="1" applyBorder="1" applyAlignment="1">
      <alignment horizontal="left" vertical="center"/>
    </xf>
    <xf numFmtId="0" fontId="7" fillId="4" borderId="34" xfId="1" applyFont="1" applyFill="1" applyBorder="1" applyAlignment="1">
      <alignment horizontal="left" vertical="center"/>
    </xf>
    <xf numFmtId="0" fontId="7" fillId="2" borderId="24" xfId="1" applyFont="1" applyFill="1" applyBorder="1" applyAlignment="1" applyProtection="1">
      <alignment horizontal="center" vertical="center" wrapText="1"/>
      <protection locked="0"/>
    </xf>
    <xf numFmtId="0" fontId="7" fillId="2" borderId="24" xfId="1" applyFont="1" applyFill="1" applyBorder="1" applyAlignment="1" applyProtection="1">
      <alignment horizontal="left" vertical="center" wrapText="1"/>
      <protection locked="0"/>
    </xf>
    <xf numFmtId="0" fontId="19" fillId="0" borderId="20" xfId="2" applyFont="1" applyBorder="1" applyAlignment="1">
      <alignment horizontal="center" vertical="center"/>
    </xf>
    <xf numFmtId="49" fontId="19" fillId="0" borderId="29" xfId="2" applyNumberFormat="1" applyFont="1" applyBorder="1" applyAlignment="1">
      <alignment horizontal="center" vertical="center"/>
    </xf>
    <xf numFmtId="14" fontId="19" fillId="0" borderId="23" xfId="2" applyNumberFormat="1" applyFont="1" applyBorder="1" applyAlignment="1">
      <alignment horizontal="center" vertical="center"/>
    </xf>
    <xf numFmtId="0" fontId="19" fillId="0" borderId="23" xfId="2" applyFont="1" applyBorder="1" applyAlignment="1">
      <alignment horizontal="center" vertical="center" wrapText="1"/>
    </xf>
    <xf numFmtId="0" fontId="19" fillId="0" borderId="23" xfId="2" applyFont="1" applyBorder="1" applyAlignment="1">
      <alignment horizontal="center" vertical="center"/>
    </xf>
    <xf numFmtId="0" fontId="19" fillId="0" borderId="30" xfId="2" applyFont="1" applyBorder="1" applyAlignment="1">
      <alignment horizontal="center" vertical="center"/>
    </xf>
    <xf numFmtId="0" fontId="45" fillId="3" borderId="13" xfId="2" applyFont="1" applyFill="1" applyBorder="1" applyAlignment="1">
      <alignment horizontal="center" vertical="center" wrapText="1"/>
    </xf>
    <xf numFmtId="0" fontId="45" fillId="3" borderId="14" xfId="2" applyFont="1" applyFill="1" applyBorder="1" applyAlignment="1">
      <alignment horizontal="center" vertical="center" wrapText="1"/>
    </xf>
    <xf numFmtId="0" fontId="45" fillId="3" borderId="15" xfId="2" applyFont="1" applyFill="1" applyBorder="1" applyAlignment="1">
      <alignment horizontal="center" vertical="center" wrapText="1"/>
    </xf>
    <xf numFmtId="0" fontId="46" fillId="3" borderId="2" xfId="1" applyFont="1" applyFill="1" applyBorder="1" applyAlignment="1">
      <alignment vertical="center" wrapText="1"/>
    </xf>
    <xf numFmtId="0" fontId="46" fillId="3" borderId="2" xfId="1" applyFont="1" applyFill="1" applyBorder="1" applyAlignment="1">
      <alignment horizontal="center" vertical="center" wrapText="1"/>
    </xf>
    <xf numFmtId="0" fontId="46" fillId="3" borderId="2" xfId="0" applyFont="1" applyFill="1" applyBorder="1"/>
    <xf numFmtId="0" fontId="46" fillId="3" borderId="3" xfId="0" applyFont="1" applyFill="1" applyBorder="1" applyAlignment="1">
      <alignment horizontal="center"/>
    </xf>
    <xf numFmtId="0" fontId="46" fillId="3" borderId="5" xfId="1" applyFont="1" applyFill="1" applyBorder="1" applyAlignment="1">
      <alignment horizontal="center" vertical="center" wrapText="1"/>
    </xf>
    <xf numFmtId="0" fontId="46" fillId="3" borderId="5" xfId="1" applyFont="1" applyFill="1" applyBorder="1" applyAlignment="1">
      <alignment horizontal="right"/>
    </xf>
    <xf numFmtId="0" fontId="46" fillId="3" borderId="5" xfId="1" applyFont="1" applyFill="1" applyBorder="1"/>
    <xf numFmtId="0" fontId="46" fillId="3" borderId="6" xfId="0" applyFont="1" applyFill="1" applyBorder="1" applyAlignment="1">
      <alignment horizontal="center"/>
    </xf>
    <xf numFmtId="0" fontId="47" fillId="4" borderId="43" xfId="1" applyFont="1" applyFill="1" applyBorder="1" applyAlignment="1">
      <alignment horizontal="center" vertical="center"/>
    </xf>
    <xf numFmtId="0" fontId="41" fillId="3" borderId="14" xfId="0" applyFont="1" applyFill="1" applyBorder="1" applyAlignment="1">
      <alignment horizontal="center" vertical="center"/>
    </xf>
    <xf numFmtId="0" fontId="41" fillId="3" borderId="8" xfId="0" applyFont="1" applyFill="1" applyBorder="1" applyAlignment="1">
      <alignment horizontal="center" vertical="center"/>
    </xf>
    <xf numFmtId="0" fontId="41" fillId="3" borderId="14" xfId="1" applyFont="1" applyFill="1" applyBorder="1" applyAlignment="1">
      <alignment horizontal="center" vertical="center"/>
    </xf>
    <xf numFmtId="0" fontId="41" fillId="3" borderId="64" xfId="1" applyFont="1" applyFill="1" applyBorder="1" applyAlignment="1">
      <alignment horizontal="center" vertical="center" wrapText="1"/>
    </xf>
    <xf numFmtId="0" fontId="41" fillId="3" borderId="15" xfId="1" applyFont="1" applyFill="1" applyBorder="1" applyAlignment="1">
      <alignment horizontal="center" vertical="center" wrapText="1"/>
    </xf>
    <xf numFmtId="0" fontId="41" fillId="3" borderId="13" xfId="1" applyFont="1" applyFill="1" applyBorder="1" applyAlignment="1">
      <alignment horizontal="center" vertical="center" wrapText="1"/>
    </xf>
    <xf numFmtId="0" fontId="41" fillId="3" borderId="14" xfId="1" applyFont="1" applyFill="1" applyBorder="1" applyAlignment="1">
      <alignment horizontal="center" vertical="center" wrapText="1"/>
    </xf>
    <xf numFmtId="0" fontId="41" fillId="3" borderId="15" xfId="1" applyFont="1" applyFill="1" applyBorder="1" applyAlignment="1">
      <alignment horizontal="center" vertical="center"/>
    </xf>
    <xf numFmtId="0" fontId="8" fillId="0" borderId="41" xfId="1" applyFont="1" applyBorder="1" applyAlignment="1" applyProtection="1">
      <alignment horizontal="left" vertical="center" wrapText="1"/>
      <protection locked="0"/>
    </xf>
    <xf numFmtId="0" fontId="8" fillId="0" borderId="17" xfId="1" applyFont="1" applyBorder="1" applyAlignment="1" applyProtection="1">
      <alignment horizontal="left" vertical="center" wrapText="1"/>
      <protection locked="0"/>
    </xf>
    <xf numFmtId="0" fontId="8" fillId="0" borderId="46" xfId="1" applyFont="1" applyBorder="1" applyAlignment="1" applyProtection="1">
      <alignment horizontal="left" vertical="center" wrapText="1"/>
      <protection locked="0"/>
    </xf>
    <xf numFmtId="0" fontId="8" fillId="0" borderId="23" xfId="1" applyFont="1" applyBorder="1" applyAlignment="1" applyProtection="1">
      <alignment horizontal="left" vertical="center" wrapText="1"/>
      <protection locked="0"/>
    </xf>
    <xf numFmtId="0" fontId="8" fillId="0" borderId="35" xfId="1" applyFont="1" applyBorder="1" applyAlignment="1" applyProtection="1">
      <alignment horizontal="left" vertical="center" wrapText="1"/>
      <protection locked="0"/>
    </xf>
    <xf numFmtId="0" fontId="8" fillId="0" borderId="18" xfId="1" applyFont="1" applyBorder="1" applyAlignment="1" applyProtection="1">
      <alignment horizontal="left" vertical="center" wrapText="1"/>
      <protection locked="0"/>
    </xf>
    <xf numFmtId="0" fontId="8" fillId="0" borderId="34" xfId="1" applyFont="1" applyBorder="1" applyAlignment="1" applyProtection="1">
      <alignment horizontal="left" vertical="center" wrapText="1"/>
      <protection locked="0"/>
    </xf>
    <xf numFmtId="0" fontId="10" fillId="0" borderId="32" xfId="0" applyFont="1" applyBorder="1" applyAlignment="1">
      <alignment horizontal="left" vertical="center" wrapText="1"/>
    </xf>
    <xf numFmtId="49" fontId="51" fillId="3" borderId="12" xfId="1" applyNumberFormat="1" applyFont="1" applyFill="1" applyBorder="1" applyAlignment="1">
      <alignment horizontal="center" vertical="center"/>
    </xf>
    <xf numFmtId="0" fontId="51" fillId="3" borderId="12" xfId="1" applyFont="1" applyFill="1" applyBorder="1" applyAlignment="1">
      <alignment horizontal="center" vertical="center"/>
    </xf>
    <xf numFmtId="0" fontId="55" fillId="3" borderId="12" xfId="1" applyFont="1" applyFill="1" applyBorder="1" applyAlignment="1">
      <alignment horizontal="center" vertical="center"/>
    </xf>
    <xf numFmtId="0" fontId="57" fillId="4" borderId="43" xfId="1" applyFont="1" applyFill="1" applyBorder="1" applyAlignment="1">
      <alignment horizontal="center" vertical="center"/>
    </xf>
    <xf numFmtId="0" fontId="58" fillId="3" borderId="14" xfId="0" applyFont="1" applyFill="1" applyBorder="1" applyAlignment="1">
      <alignment horizontal="center" vertical="center"/>
    </xf>
    <xf numFmtId="0" fontId="58" fillId="3" borderId="64" xfId="1" applyFont="1" applyFill="1" applyBorder="1" applyAlignment="1">
      <alignment horizontal="center" vertical="center" wrapText="1"/>
    </xf>
    <xf numFmtId="0" fontId="58" fillId="3" borderId="15" xfId="1" applyFont="1" applyFill="1" applyBorder="1" applyAlignment="1">
      <alignment horizontal="center" vertical="center"/>
    </xf>
    <xf numFmtId="0" fontId="58" fillId="3" borderId="14" xfId="1" applyFont="1" applyFill="1" applyBorder="1" applyAlignment="1">
      <alignment horizontal="center" vertical="center" wrapText="1"/>
    </xf>
    <xf numFmtId="0" fontId="58" fillId="3" borderId="15" xfId="1" applyFont="1" applyFill="1" applyBorder="1" applyAlignment="1">
      <alignment horizontal="center" vertical="center" wrapText="1"/>
    </xf>
    <xf numFmtId="0" fontId="56" fillId="10" borderId="27" xfId="1" applyFont="1" applyFill="1" applyBorder="1" applyAlignment="1">
      <alignment vertical="center"/>
    </xf>
    <xf numFmtId="0" fontId="66" fillId="0" borderId="53" xfId="1" applyFont="1" applyBorder="1" applyAlignment="1">
      <alignment horizontal="center" vertical="center"/>
    </xf>
    <xf numFmtId="0" fontId="67" fillId="4" borderId="41" xfId="0" applyFont="1" applyFill="1" applyBorder="1" applyAlignment="1">
      <alignment vertical="center" wrapText="1"/>
    </xf>
    <xf numFmtId="0" fontId="68" fillId="4" borderId="18" xfId="0" applyFont="1" applyFill="1" applyBorder="1" applyAlignment="1">
      <alignment vertical="center" wrapText="1"/>
    </xf>
    <xf numFmtId="0" fontId="67" fillId="4" borderId="18" xfId="0" applyFont="1" applyFill="1" applyBorder="1" applyAlignment="1">
      <alignment vertical="center" wrapText="1"/>
    </xf>
    <xf numFmtId="0" fontId="66" fillId="4" borderId="18" xfId="1" applyFont="1" applyFill="1" applyBorder="1" applyAlignment="1">
      <alignment horizontal="left" vertical="center" wrapText="1"/>
    </xf>
    <xf numFmtId="0" fontId="66" fillId="0" borderId="58" xfId="1" applyFont="1" applyBorder="1" applyAlignment="1">
      <alignment horizontal="center" vertical="center"/>
    </xf>
    <xf numFmtId="0" fontId="66" fillId="4" borderId="46" xfId="1" applyFont="1" applyFill="1" applyBorder="1" applyAlignment="1">
      <alignment horizontal="left" vertical="center" wrapText="1"/>
    </xf>
    <xf numFmtId="0" fontId="63" fillId="0" borderId="0" xfId="0" applyFont="1" applyAlignment="1">
      <alignment vertical="top" wrapText="1"/>
    </xf>
    <xf numFmtId="0" fontId="61" fillId="2" borderId="0" xfId="1" applyFont="1" applyFill="1" applyAlignment="1">
      <alignment horizontal="center" vertical="top"/>
    </xf>
    <xf numFmtId="0" fontId="63" fillId="0" borderId="0" xfId="0" applyFont="1"/>
    <xf numFmtId="0" fontId="61" fillId="2" borderId="0" xfId="1" applyFont="1" applyFill="1" applyAlignment="1">
      <alignment horizontal="right" vertical="top"/>
    </xf>
    <xf numFmtId="0" fontId="61" fillId="0" borderId="0" xfId="1" applyFont="1" applyAlignment="1">
      <alignment horizontal="center" vertical="center"/>
    </xf>
    <xf numFmtId="0" fontId="61" fillId="2" borderId="0" xfId="1" applyFont="1" applyFill="1" applyAlignment="1">
      <alignment horizontal="right" vertical="center"/>
    </xf>
    <xf numFmtId="0" fontId="61" fillId="0" borderId="0" xfId="1" applyFont="1" applyAlignment="1">
      <alignment horizontal="right" vertical="center"/>
    </xf>
    <xf numFmtId="0" fontId="61" fillId="2" borderId="0" xfId="1" applyFont="1" applyFill="1" applyAlignment="1" applyProtection="1">
      <alignment horizontal="right" vertical="center"/>
      <protection locked="0"/>
    </xf>
    <xf numFmtId="0" fontId="67" fillId="0" borderId="23" xfId="0" applyFont="1" applyBorder="1" applyAlignment="1">
      <alignment vertical="center"/>
    </xf>
    <xf numFmtId="0" fontId="70" fillId="0" borderId="53" xfId="1" applyFont="1" applyBorder="1" applyAlignment="1" applyProtection="1">
      <alignment horizontal="left" vertical="center" wrapText="1"/>
      <protection locked="0"/>
    </xf>
    <xf numFmtId="0" fontId="67" fillId="0" borderId="17" xfId="0" applyFont="1" applyBorder="1" applyAlignment="1">
      <alignment vertical="center"/>
    </xf>
    <xf numFmtId="0" fontId="70" fillId="0" borderId="17" xfId="1" applyFont="1" applyBorder="1" applyAlignment="1" applyProtection="1">
      <alignment horizontal="left" vertical="center" wrapText="1"/>
      <protection locked="0"/>
    </xf>
    <xf numFmtId="0" fontId="63" fillId="0" borderId="0" xfId="0" applyFont="1" applyAlignment="1">
      <alignment horizontal="center"/>
    </xf>
    <xf numFmtId="0" fontId="76" fillId="2" borderId="7" xfId="1" applyFont="1" applyFill="1" applyBorder="1" applyAlignment="1">
      <alignment vertical="top" wrapText="1"/>
    </xf>
    <xf numFmtId="0" fontId="61" fillId="2" borderId="7" xfId="1" applyFont="1" applyFill="1" applyBorder="1" applyAlignment="1">
      <alignment horizontal="center" vertical="top"/>
    </xf>
    <xf numFmtId="49" fontId="55" fillId="3" borderId="12" xfId="1" applyNumberFormat="1" applyFont="1" applyFill="1" applyBorder="1" applyAlignment="1">
      <alignment horizontal="center" vertical="center"/>
    </xf>
    <xf numFmtId="0" fontId="60" fillId="0" borderId="21" xfId="1" applyFont="1" applyBorder="1" applyAlignment="1">
      <alignment horizontal="center" vertical="center"/>
    </xf>
    <xf numFmtId="0" fontId="66" fillId="4" borderId="23" xfId="1" applyFont="1" applyFill="1" applyBorder="1" applyAlignment="1">
      <alignment horizontal="left" vertical="center" wrapText="1"/>
    </xf>
    <xf numFmtId="0" fontId="79" fillId="10" borderId="23" xfId="1" applyFont="1" applyFill="1" applyBorder="1" applyAlignment="1">
      <alignment horizontal="left" vertical="center" wrapText="1"/>
    </xf>
    <xf numFmtId="0" fontId="70" fillId="0" borderId="23" xfId="1" applyFont="1" applyBorder="1" applyAlignment="1" applyProtection="1">
      <alignment horizontal="left" vertical="center" wrapText="1"/>
      <protection locked="0"/>
    </xf>
    <xf numFmtId="0" fontId="66" fillId="0" borderId="21" xfId="1" applyFont="1" applyBorder="1" applyAlignment="1">
      <alignment horizontal="center" vertical="center"/>
    </xf>
    <xf numFmtId="0" fontId="66" fillId="10" borderId="17" xfId="1" applyFont="1" applyFill="1" applyBorder="1" applyAlignment="1">
      <alignment horizontal="left" vertical="center"/>
    </xf>
    <xf numFmtId="0" fontId="66" fillId="4" borderId="17" xfId="1" applyFont="1" applyFill="1" applyBorder="1" applyAlignment="1">
      <alignment horizontal="left" vertical="center" wrapText="1"/>
    </xf>
    <xf numFmtId="0" fontId="79" fillId="10" borderId="17" xfId="1" applyFont="1" applyFill="1" applyBorder="1" applyAlignment="1">
      <alignment horizontal="left" vertical="center" wrapText="1"/>
    </xf>
    <xf numFmtId="0" fontId="66" fillId="4" borderId="41" xfId="1" applyFont="1" applyFill="1" applyBorder="1" applyAlignment="1">
      <alignment horizontal="left" vertical="center" wrapText="1"/>
    </xf>
    <xf numFmtId="0" fontId="67" fillId="10" borderId="17" xfId="0" applyFont="1" applyFill="1" applyBorder="1"/>
    <xf numFmtId="0" fontId="79" fillId="10" borderId="17" xfId="1" applyFont="1" applyFill="1" applyBorder="1" applyAlignment="1">
      <alignment horizontal="left" vertical="top" wrapText="1"/>
    </xf>
    <xf numFmtId="0" fontId="70" fillId="0" borderId="17" xfId="1" applyFont="1" applyBorder="1" applyAlignment="1" applyProtection="1">
      <alignment horizontal="left" vertical="top" wrapText="1"/>
      <protection locked="0"/>
    </xf>
    <xf numFmtId="0" fontId="70" fillId="4" borderId="17" xfId="1" applyFont="1" applyFill="1" applyBorder="1" applyAlignment="1">
      <alignment horizontal="left" vertical="center" wrapText="1"/>
    </xf>
    <xf numFmtId="0" fontId="79" fillId="10" borderId="17" xfId="1" applyFont="1" applyFill="1" applyBorder="1" applyAlignment="1">
      <alignment horizontal="left" vertical="center"/>
    </xf>
    <xf numFmtId="0" fontId="66" fillId="0" borderId="56" xfId="1" applyFont="1" applyBorder="1" applyAlignment="1">
      <alignment horizontal="center" vertical="center"/>
    </xf>
    <xf numFmtId="0" fontId="67" fillId="0" borderId="32" xfId="0" applyFont="1" applyBorder="1"/>
    <xf numFmtId="0" fontId="60" fillId="0" borderId="38" xfId="1" applyFont="1" applyBorder="1" applyAlignment="1">
      <alignment horizontal="center" vertical="center"/>
    </xf>
    <xf numFmtId="0" fontId="60" fillId="0" borderId="24" xfId="1" applyFont="1" applyBorder="1" applyAlignment="1">
      <alignment horizontal="center" vertical="center"/>
    </xf>
    <xf numFmtId="0" fontId="60" fillId="0" borderId="40" xfId="1" applyFont="1" applyBorder="1" applyAlignment="1">
      <alignment horizontal="center" vertical="center"/>
    </xf>
    <xf numFmtId="0" fontId="66" fillId="0" borderId="38" xfId="1" applyFont="1" applyBorder="1" applyAlignment="1">
      <alignment horizontal="center" vertical="center"/>
    </xf>
    <xf numFmtId="0" fontId="66" fillId="4" borderId="35" xfId="1" applyFont="1" applyFill="1" applyBorder="1" applyAlignment="1">
      <alignment horizontal="left" vertical="center" wrapText="1"/>
    </xf>
    <xf numFmtId="0" fontId="67" fillId="10" borderId="55" xfId="0" applyFont="1" applyFill="1" applyBorder="1" applyAlignment="1">
      <alignment vertical="center"/>
    </xf>
    <xf numFmtId="0" fontId="79" fillId="10" borderId="36" xfId="1" applyFont="1" applyFill="1" applyBorder="1" applyAlignment="1">
      <alignment horizontal="left" vertical="center" wrapText="1"/>
    </xf>
    <xf numFmtId="0" fontId="70" fillId="0" borderId="55" xfId="1" applyFont="1" applyBorder="1" applyAlignment="1" applyProtection="1">
      <alignment horizontal="left" vertical="center" wrapText="1"/>
      <protection locked="0"/>
    </xf>
    <xf numFmtId="0" fontId="66" fillId="0" borderId="24" xfId="1" applyFont="1" applyBorder="1" applyAlignment="1">
      <alignment horizontal="center" vertical="center"/>
    </xf>
    <xf numFmtId="0" fontId="70" fillId="4" borderId="18" xfId="1" applyFont="1" applyFill="1" applyBorder="1" applyAlignment="1">
      <alignment horizontal="left" vertical="center" wrapText="1"/>
    </xf>
    <xf numFmtId="0" fontId="67" fillId="10" borderId="21" xfId="0" applyFont="1" applyFill="1" applyBorder="1" applyAlignment="1">
      <alignment vertical="center"/>
    </xf>
    <xf numFmtId="0" fontId="70" fillId="0" borderId="21" xfId="1" applyFont="1" applyBorder="1" applyAlignment="1" applyProtection="1">
      <alignment horizontal="left" vertical="center" wrapText="1"/>
      <protection locked="0"/>
    </xf>
    <xf numFmtId="0" fontId="79" fillId="10" borderId="21" xfId="1" applyFont="1" applyFill="1" applyBorder="1" applyAlignment="1">
      <alignment horizontal="left" vertical="center"/>
    </xf>
    <xf numFmtId="0" fontId="80" fillId="0" borderId="21" xfId="1" applyFont="1" applyBorder="1" applyAlignment="1" applyProtection="1">
      <alignment horizontal="left" vertical="center" wrapText="1"/>
      <protection locked="0"/>
    </xf>
    <xf numFmtId="0" fontId="80" fillId="0" borderId="56" xfId="1" applyFont="1" applyBorder="1" applyAlignment="1" applyProtection="1">
      <alignment horizontal="left" vertical="center" wrapText="1"/>
      <protection locked="0"/>
    </xf>
    <xf numFmtId="0" fontId="70" fillId="4" borderId="18" xfId="1" applyFont="1" applyFill="1" applyBorder="1" applyAlignment="1">
      <alignment horizontal="left" vertical="center"/>
    </xf>
    <xf numFmtId="0" fontId="80" fillId="0" borderId="56" xfId="1" applyFont="1" applyBorder="1" applyAlignment="1" applyProtection="1">
      <alignment horizontal="center" vertical="center" wrapText="1"/>
      <protection locked="0"/>
    </xf>
    <xf numFmtId="0" fontId="66" fillId="0" borderId="40" xfId="1" applyFont="1" applyBorder="1" applyAlignment="1">
      <alignment horizontal="center" vertical="center"/>
    </xf>
    <xf numFmtId="0" fontId="70" fillId="4" borderId="34" xfId="1" applyFont="1" applyFill="1" applyBorder="1" applyAlignment="1">
      <alignment horizontal="left" vertical="center"/>
    </xf>
    <xf numFmtId="0" fontId="79" fillId="10" borderId="50" xfId="1" applyFont="1" applyFill="1" applyBorder="1" applyAlignment="1">
      <alignment horizontal="left" vertical="center"/>
    </xf>
    <xf numFmtId="0" fontId="79" fillId="10" borderId="44" xfId="1" applyFont="1" applyFill="1" applyBorder="1" applyAlignment="1">
      <alignment horizontal="left" vertical="center"/>
    </xf>
    <xf numFmtId="0" fontId="70" fillId="0" borderId="44" xfId="1" applyFont="1" applyBorder="1" applyAlignment="1" applyProtection="1">
      <alignment horizontal="left" vertical="center" wrapText="1"/>
      <protection locked="0"/>
    </xf>
    <xf numFmtId="0" fontId="60" fillId="0" borderId="55" xfId="1" applyFont="1" applyBorder="1" applyAlignment="1">
      <alignment horizontal="center" vertical="center"/>
    </xf>
    <xf numFmtId="0" fontId="60" fillId="0" borderId="44" xfId="1" applyFont="1" applyBorder="1" applyAlignment="1">
      <alignment horizontal="center" vertical="center"/>
    </xf>
    <xf numFmtId="0" fontId="56" fillId="10" borderId="2" xfId="1" applyFont="1" applyFill="1" applyBorder="1" applyAlignment="1">
      <alignment vertical="center"/>
    </xf>
    <xf numFmtId="0" fontId="60" fillId="10" borderId="5" xfId="1" applyFont="1" applyFill="1" applyBorder="1" applyAlignment="1">
      <alignment horizontal="center" vertical="center"/>
    </xf>
    <xf numFmtId="0" fontId="60" fillId="10" borderId="5" xfId="1" applyFont="1" applyFill="1" applyBorder="1" applyAlignment="1">
      <alignment vertical="center"/>
    </xf>
    <xf numFmtId="0" fontId="73" fillId="0" borderId="1" xfId="1" applyFont="1" applyBorder="1" applyAlignment="1">
      <alignment vertical="center" wrapText="1"/>
    </xf>
    <xf numFmtId="0" fontId="73" fillId="0" borderId="2" xfId="1" applyFont="1" applyBorder="1" applyAlignment="1">
      <alignment vertical="center" wrapText="1"/>
    </xf>
    <xf numFmtId="0" fontId="73" fillId="0" borderId="4" xfId="1" applyFont="1" applyBorder="1" applyAlignment="1">
      <alignment vertical="center"/>
    </xf>
    <xf numFmtId="0" fontId="73" fillId="0" borderId="5" xfId="1" applyFont="1" applyBorder="1" applyAlignment="1">
      <alignment vertical="center"/>
    </xf>
    <xf numFmtId="49" fontId="61" fillId="2" borderId="0" xfId="1" applyNumberFormat="1" applyFont="1" applyFill="1" applyAlignment="1" applyProtection="1">
      <alignment vertical="top"/>
      <protection locked="0"/>
    </xf>
    <xf numFmtId="0" fontId="61" fillId="4" borderId="10" xfId="1" applyFont="1" applyFill="1" applyBorder="1" applyAlignment="1" applyProtection="1">
      <alignment horizontal="center" vertical="center" wrapText="1"/>
      <protection locked="0"/>
    </xf>
    <xf numFmtId="0" fontId="66" fillId="0" borderId="55" xfId="1" applyFont="1" applyBorder="1" applyAlignment="1">
      <alignment horizontal="center" vertical="center"/>
    </xf>
    <xf numFmtId="0" fontId="67" fillId="0" borderId="55" xfId="0" applyFont="1" applyBorder="1"/>
    <xf numFmtId="0" fontId="66" fillId="10" borderId="36" xfId="1" applyFont="1" applyFill="1" applyBorder="1" applyAlignment="1">
      <alignment horizontal="left" vertical="top"/>
    </xf>
    <xf numFmtId="0" fontId="70" fillId="0" borderId="55" xfId="1" applyFont="1" applyBorder="1" applyAlignment="1" applyProtection="1">
      <alignment horizontal="left" vertical="top" wrapText="1"/>
      <protection locked="0"/>
    </xf>
    <xf numFmtId="0" fontId="67" fillId="0" borderId="21" xfId="0" applyFont="1" applyBorder="1"/>
    <xf numFmtId="0" fontId="79" fillId="10" borderId="17" xfId="1" applyFont="1" applyFill="1" applyBorder="1" applyAlignment="1">
      <alignment horizontal="left" vertical="top"/>
    </xf>
    <xf numFmtId="0" fontId="70" fillId="0" borderId="21" xfId="1" applyFont="1" applyBorder="1" applyAlignment="1" applyProtection="1">
      <alignment horizontal="left" vertical="top" wrapText="1"/>
      <protection locked="0"/>
    </xf>
    <xf numFmtId="0" fontId="66" fillId="0" borderId="44" xfId="1" applyFont="1" applyBorder="1" applyAlignment="1">
      <alignment horizontal="center" vertical="center"/>
    </xf>
    <xf numFmtId="0" fontId="67" fillId="0" borderId="44" xfId="0" applyFont="1" applyBorder="1"/>
    <xf numFmtId="0" fontId="79" fillId="10" borderId="50" xfId="1" applyFont="1" applyFill="1" applyBorder="1" applyAlignment="1">
      <alignment horizontal="left" vertical="top"/>
    </xf>
    <xf numFmtId="0" fontId="70" fillId="0" borderId="44" xfId="1" applyFont="1" applyBorder="1" applyAlignment="1" applyProtection="1">
      <alignment horizontal="left" vertical="top" wrapText="1"/>
      <protection locked="0"/>
    </xf>
    <xf numFmtId="0" fontId="58" fillId="3" borderId="8" xfId="0" applyFont="1" applyFill="1" applyBorder="1" applyAlignment="1">
      <alignment horizontal="center" vertical="center" wrapText="1"/>
    </xf>
    <xf numFmtId="0" fontId="63" fillId="0" borderId="5" xfId="0" applyFont="1" applyBorder="1" applyAlignment="1">
      <alignment vertical="top" wrapText="1"/>
    </xf>
    <xf numFmtId="0" fontId="63" fillId="0" borderId="2" xfId="0" applyFont="1" applyBorder="1" applyAlignment="1">
      <alignment vertical="top" wrapText="1"/>
    </xf>
    <xf numFmtId="0" fontId="61" fillId="4" borderId="10" xfId="1" applyFont="1" applyFill="1" applyBorder="1" applyAlignment="1" applyProtection="1">
      <alignment vertical="center" wrapText="1"/>
      <protection locked="0"/>
    </xf>
    <xf numFmtId="0" fontId="61" fillId="4" borderId="24" xfId="1" applyFont="1" applyFill="1" applyBorder="1" applyAlignment="1" applyProtection="1">
      <alignment vertical="center" wrapText="1"/>
      <protection locked="0"/>
    </xf>
    <xf numFmtId="0" fontId="61" fillId="2" borderId="0" xfId="1" applyFont="1" applyFill="1" applyAlignment="1">
      <alignment horizontal="center" vertical="center"/>
    </xf>
    <xf numFmtId="0" fontId="1" fillId="0" borderId="11" xfId="1" applyBorder="1" applyAlignment="1" applyProtection="1">
      <alignment vertical="top" wrapText="1"/>
      <protection locked="0"/>
    </xf>
    <xf numFmtId="0" fontId="1" fillId="0" borderId="0" xfId="1" applyAlignment="1" applyProtection="1">
      <alignment vertical="top" wrapText="1"/>
      <protection locked="0"/>
    </xf>
    <xf numFmtId="0" fontId="82" fillId="0" borderId="30" xfId="1" applyFont="1" applyBorder="1" applyAlignment="1" applyProtection="1">
      <alignment horizontal="left" vertical="center" wrapText="1"/>
      <protection locked="0"/>
    </xf>
    <xf numFmtId="0" fontId="82" fillId="0" borderId="20" xfId="1" applyFont="1" applyBorder="1" applyAlignment="1" applyProtection="1">
      <alignment horizontal="left" vertical="center" wrapText="1"/>
      <protection locked="0"/>
    </xf>
    <xf numFmtId="0" fontId="82" fillId="0" borderId="33" xfId="1" applyFont="1" applyBorder="1" applyAlignment="1" applyProtection="1">
      <alignment horizontal="left" vertical="center" wrapText="1"/>
      <protection locked="0"/>
    </xf>
    <xf numFmtId="0" fontId="67" fillId="4" borderId="18" xfId="0" applyFont="1" applyFill="1" applyBorder="1" applyAlignment="1">
      <alignment horizontal="left" vertical="center" wrapText="1"/>
    </xf>
    <xf numFmtId="0" fontId="76" fillId="0" borderId="11" xfId="1" applyFont="1" applyBorder="1" applyAlignment="1" applyProtection="1">
      <alignment vertical="top" wrapText="1"/>
      <protection locked="0"/>
    </xf>
    <xf numFmtId="0" fontId="61" fillId="10" borderId="0" xfId="1" applyFont="1" applyFill="1" applyAlignment="1">
      <alignment horizontal="right" vertical="top"/>
    </xf>
    <xf numFmtId="0" fontId="76" fillId="0" borderId="0" xfId="1" applyFont="1" applyAlignment="1" applyProtection="1">
      <alignment vertical="top" wrapText="1"/>
      <protection locked="0"/>
    </xf>
    <xf numFmtId="0" fontId="56" fillId="10" borderId="28" xfId="1" applyFont="1" applyFill="1" applyBorder="1" applyAlignment="1">
      <alignment vertical="center"/>
    </xf>
    <xf numFmtId="0" fontId="60" fillId="10" borderId="0" xfId="1" applyFont="1" applyFill="1" applyAlignment="1">
      <alignment horizontal="center" vertical="center"/>
    </xf>
    <xf numFmtId="0" fontId="60" fillId="10" borderId="0" xfId="1" applyFont="1" applyFill="1" applyAlignment="1">
      <alignment vertical="center"/>
    </xf>
    <xf numFmtId="0" fontId="61" fillId="10" borderId="0" xfId="1" applyFont="1" applyFill="1" applyAlignment="1">
      <alignment vertical="center"/>
    </xf>
    <xf numFmtId="0" fontId="61" fillId="10" borderId="11" xfId="1" applyFont="1" applyFill="1" applyBorder="1" applyAlignment="1">
      <alignment vertical="center"/>
    </xf>
    <xf numFmtId="0" fontId="61" fillId="10" borderId="6" xfId="1" applyFont="1" applyFill="1" applyBorder="1" applyAlignment="1">
      <alignment vertical="center"/>
    </xf>
    <xf numFmtId="0" fontId="63" fillId="0" borderId="33" xfId="0" applyFont="1" applyBorder="1" applyAlignment="1">
      <alignment horizontal="left" vertical="center" wrapText="1"/>
    </xf>
    <xf numFmtId="0" fontId="10" fillId="4" borderId="10" xfId="0" applyFont="1" applyFill="1" applyBorder="1" applyAlignment="1">
      <alignment vertical="center" wrapText="1"/>
    </xf>
    <xf numFmtId="0" fontId="39" fillId="4" borderId="24" xfId="0" applyFont="1" applyFill="1" applyBorder="1" applyAlignment="1">
      <alignment vertical="center" wrapText="1"/>
    </xf>
    <xf numFmtId="0" fontId="10" fillId="4" borderId="24" xfId="0" applyFont="1" applyFill="1" applyBorder="1" applyAlignment="1">
      <alignment vertical="center" wrapText="1"/>
    </xf>
    <xf numFmtId="0" fontId="8" fillId="4" borderId="24" xfId="1" applyFont="1" applyFill="1" applyBorder="1" applyAlignment="1">
      <alignment horizontal="left" vertical="center" wrapText="1"/>
    </xf>
    <xf numFmtId="0" fontId="8" fillId="4" borderId="27" xfId="1" applyFont="1" applyFill="1" applyBorder="1" applyAlignment="1">
      <alignment horizontal="left" vertical="center" wrapText="1"/>
    </xf>
    <xf numFmtId="0" fontId="56" fillId="10" borderId="0" xfId="1" applyFont="1" applyFill="1" applyAlignment="1">
      <alignment vertical="center"/>
    </xf>
    <xf numFmtId="0" fontId="60" fillId="0" borderId="42" xfId="1" applyFont="1" applyBorder="1" applyAlignment="1">
      <alignment horizontal="center" vertical="center"/>
    </xf>
    <xf numFmtId="0" fontId="60" fillId="0" borderId="29" xfId="1" applyFont="1" applyBorder="1" applyAlignment="1">
      <alignment horizontal="center" vertical="center"/>
    </xf>
    <xf numFmtId="0" fontId="60" fillId="0" borderId="26" xfId="1" applyFont="1" applyBorder="1" applyAlignment="1">
      <alignment horizontal="center" vertical="center"/>
    </xf>
    <xf numFmtId="0" fontId="47" fillId="4" borderId="8" xfId="1" applyFont="1" applyFill="1" applyBorder="1" applyAlignment="1">
      <alignment horizontal="center" vertical="center"/>
    </xf>
    <xf numFmtId="0" fontId="8" fillId="4" borderId="53" xfId="1" applyFont="1" applyFill="1" applyBorder="1" applyAlignment="1">
      <alignment horizontal="left" vertical="center" wrapText="1"/>
    </xf>
    <xf numFmtId="0" fontId="8" fillId="4" borderId="21" xfId="1" applyFont="1" applyFill="1" applyBorder="1" applyAlignment="1">
      <alignment horizontal="left" vertical="center" wrapText="1"/>
    </xf>
    <xf numFmtId="0" fontId="8" fillId="4" borderId="10" xfId="1" applyFont="1" applyFill="1" applyBorder="1" applyAlignment="1">
      <alignment horizontal="left" vertical="center" wrapText="1"/>
    </xf>
    <xf numFmtId="0" fontId="7" fillId="4" borderId="21" xfId="1" applyFont="1" applyFill="1" applyBorder="1" applyAlignment="1">
      <alignment horizontal="left" vertical="center" wrapText="1"/>
    </xf>
    <xf numFmtId="0" fontId="60" fillId="0" borderId="19" xfId="1" applyFont="1" applyBorder="1" applyAlignment="1">
      <alignment horizontal="center" vertical="center"/>
    </xf>
    <xf numFmtId="0" fontId="60" fillId="0" borderId="75" xfId="1" applyFont="1" applyBorder="1" applyAlignment="1">
      <alignment horizontal="center" vertical="center"/>
    </xf>
    <xf numFmtId="0" fontId="56" fillId="10" borderId="3" xfId="1" applyFont="1" applyFill="1" applyBorder="1" applyAlignment="1">
      <alignment vertical="center"/>
    </xf>
    <xf numFmtId="0" fontId="60" fillId="10" borderId="11" xfId="1" applyFont="1" applyFill="1" applyBorder="1" applyAlignment="1">
      <alignment vertical="center"/>
    </xf>
    <xf numFmtId="0" fontId="60" fillId="10" borderId="6" xfId="1" applyFont="1" applyFill="1" applyBorder="1" applyAlignment="1">
      <alignment vertical="center"/>
    </xf>
    <xf numFmtId="0" fontId="8" fillId="4" borderId="38" xfId="1" applyFont="1" applyFill="1" applyBorder="1" applyAlignment="1">
      <alignment horizontal="left" vertical="center" wrapText="1"/>
    </xf>
    <xf numFmtId="0" fontId="7" fillId="4" borderId="24" xfId="1" applyFont="1" applyFill="1" applyBorder="1" applyAlignment="1">
      <alignment horizontal="left" vertical="center" wrapText="1"/>
    </xf>
    <xf numFmtId="0" fontId="7" fillId="4" borderId="24" xfId="1" applyFont="1" applyFill="1" applyBorder="1" applyAlignment="1">
      <alignment horizontal="left" vertical="center"/>
    </xf>
    <xf numFmtId="0" fontId="7" fillId="4" borderId="40" xfId="1" applyFont="1" applyFill="1" applyBorder="1" applyAlignment="1">
      <alignment horizontal="left" vertical="center"/>
    </xf>
    <xf numFmtId="0" fontId="56" fillId="10" borderId="11" xfId="1" applyFont="1" applyFill="1" applyBorder="1" applyAlignment="1">
      <alignment vertical="center"/>
    </xf>
    <xf numFmtId="0" fontId="60" fillId="0" borderId="0" xfId="1" applyFont="1" applyAlignment="1" applyProtection="1">
      <alignment vertical="center"/>
      <protection locked="0"/>
    </xf>
    <xf numFmtId="0" fontId="78" fillId="0" borderId="0" xfId="1" applyFont="1" applyAlignment="1" applyProtection="1">
      <alignment vertical="center"/>
      <protection locked="0"/>
    </xf>
    <xf numFmtId="0" fontId="78" fillId="0" borderId="0" xfId="1" applyFont="1" applyProtection="1">
      <protection locked="0"/>
    </xf>
    <xf numFmtId="0" fontId="61" fillId="2" borderId="0" xfId="1" applyFont="1" applyFill="1" applyAlignment="1" applyProtection="1">
      <alignment vertical="top"/>
      <protection locked="0"/>
    </xf>
    <xf numFmtId="0" fontId="82" fillId="0" borderId="37" xfId="1" applyFont="1" applyBorder="1" applyAlignment="1" applyProtection="1">
      <alignment horizontal="left" vertical="center" wrapText="1"/>
      <protection locked="0"/>
    </xf>
    <xf numFmtId="0" fontId="82" fillId="0" borderId="57" xfId="1" applyFont="1" applyBorder="1" applyAlignment="1" applyProtection="1">
      <alignment horizontal="left" vertical="center" wrapText="1"/>
      <protection locked="0"/>
    </xf>
    <xf numFmtId="0" fontId="42" fillId="11" borderId="62" xfId="1" applyFont="1" applyFill="1" applyBorder="1" applyAlignment="1">
      <alignment horizontal="center" vertical="center"/>
    </xf>
    <xf numFmtId="0" fontId="42" fillId="11" borderId="15" xfId="1" applyFont="1" applyFill="1" applyBorder="1" applyAlignment="1">
      <alignment horizontal="center" vertical="center"/>
    </xf>
    <xf numFmtId="0" fontId="56" fillId="11" borderId="14" xfId="1" applyFont="1" applyFill="1" applyBorder="1" applyAlignment="1">
      <alignment horizontal="center" vertical="center"/>
    </xf>
    <xf numFmtId="0" fontId="56" fillId="11" borderId="15" xfId="1" applyFont="1" applyFill="1" applyBorder="1" applyAlignment="1">
      <alignment horizontal="center" vertical="center"/>
    </xf>
    <xf numFmtId="0" fontId="56" fillId="11" borderId="62" xfId="1" applyFont="1" applyFill="1" applyBorder="1" applyAlignment="1">
      <alignment horizontal="center" vertical="center"/>
    </xf>
    <xf numFmtId="0" fontId="75" fillId="11" borderId="62" xfId="1" applyFont="1" applyFill="1" applyBorder="1" applyAlignment="1">
      <alignment horizontal="center" vertical="center"/>
    </xf>
    <xf numFmtId="0" fontId="70" fillId="4" borderId="32" xfId="1" applyFont="1" applyFill="1" applyBorder="1" applyAlignment="1">
      <alignment horizontal="left" vertical="center" wrapText="1"/>
    </xf>
    <xf numFmtId="49" fontId="19" fillId="0" borderId="26" xfId="2" applyNumberFormat="1" applyFont="1" applyBorder="1" applyAlignment="1">
      <alignment horizontal="center" vertical="center"/>
    </xf>
    <xf numFmtId="14" fontId="19" fillId="0" borderId="63" xfId="2" applyNumberFormat="1" applyFont="1" applyBorder="1" applyAlignment="1">
      <alignment horizontal="center" vertical="center"/>
    </xf>
    <xf numFmtId="0" fontId="19" fillId="0" borderId="63" xfId="2" applyFont="1" applyBorder="1" applyAlignment="1">
      <alignment horizontal="center" vertical="center" wrapText="1"/>
    </xf>
    <xf numFmtId="0" fontId="19" fillId="0" borderId="63" xfId="2" applyFont="1" applyBorder="1" applyAlignment="1">
      <alignment horizontal="center" vertical="center"/>
    </xf>
    <xf numFmtId="0" fontId="19" fillId="0" borderId="77" xfId="2" applyFont="1" applyBorder="1" applyAlignment="1">
      <alignment horizontal="center" vertical="center"/>
    </xf>
    <xf numFmtId="0" fontId="63" fillId="10" borderId="0" xfId="0" applyFont="1" applyFill="1"/>
    <xf numFmtId="0" fontId="55" fillId="3" borderId="62" xfId="1" applyFont="1" applyFill="1" applyBorder="1" applyAlignment="1">
      <alignment horizontal="center" vertical="center"/>
    </xf>
    <xf numFmtId="0" fontId="55" fillId="3" borderId="13" xfId="1" applyFont="1" applyFill="1" applyBorder="1" applyAlignment="1">
      <alignment horizontal="center" vertical="center"/>
    </xf>
    <xf numFmtId="0" fontId="40" fillId="10" borderId="0" xfId="0" applyFont="1" applyFill="1"/>
    <xf numFmtId="0" fontId="0" fillId="10" borderId="0" xfId="0" applyFill="1"/>
    <xf numFmtId="0" fontId="41" fillId="3" borderId="9" xfId="1" applyFont="1" applyFill="1" applyBorder="1" applyAlignment="1">
      <alignment horizontal="center" vertical="center" wrapText="1"/>
    </xf>
    <xf numFmtId="0" fontId="8" fillId="0" borderId="72" xfId="1" applyFont="1" applyBorder="1" applyAlignment="1" applyProtection="1">
      <alignment horizontal="center" vertical="center" wrapText="1"/>
      <protection locked="0"/>
    </xf>
    <xf numFmtId="0" fontId="8" fillId="0" borderId="25" xfId="1" applyFont="1" applyBorder="1" applyAlignment="1" applyProtection="1">
      <alignment horizontal="center" vertical="center" wrapText="1"/>
      <protection locked="0"/>
    </xf>
    <xf numFmtId="0" fontId="10" fillId="0" borderId="25" xfId="0" applyFont="1" applyBorder="1" applyAlignment="1">
      <alignment horizontal="center" vertical="center" wrapText="1"/>
    </xf>
    <xf numFmtId="0" fontId="8" fillId="10" borderId="28" xfId="1" applyFont="1" applyFill="1" applyBorder="1" applyAlignment="1">
      <alignment horizontal="center" vertical="center"/>
    </xf>
    <xf numFmtId="0" fontId="8" fillId="10" borderId="11" xfId="1" applyFont="1" applyFill="1" applyBorder="1" applyAlignment="1">
      <alignment horizontal="center" vertical="center"/>
    </xf>
    <xf numFmtId="0" fontId="8" fillId="10" borderId="25" xfId="1" applyFont="1" applyFill="1" applyBorder="1" applyAlignment="1" applyProtection="1">
      <alignment horizontal="center" vertical="center" wrapText="1"/>
      <protection locked="0"/>
    </xf>
    <xf numFmtId="0" fontId="8" fillId="0" borderId="28" xfId="1" applyFont="1" applyBorder="1" applyAlignment="1" applyProtection="1">
      <alignment horizontal="center" vertical="center" wrapText="1"/>
      <protection locked="0"/>
    </xf>
    <xf numFmtId="0" fontId="8" fillId="0" borderId="78" xfId="1" applyFont="1" applyBorder="1" applyAlignment="1" applyProtection="1">
      <alignment horizontal="center" vertical="center" wrapText="1"/>
      <protection locked="0"/>
    </xf>
    <xf numFmtId="0" fontId="8" fillId="10" borderId="79" xfId="1" applyFont="1" applyFill="1" applyBorder="1" applyAlignment="1" applyProtection="1">
      <alignment horizontal="center" vertical="center" wrapText="1"/>
      <protection locked="0"/>
    </xf>
    <xf numFmtId="0" fontId="8" fillId="10" borderId="3" xfId="1" applyFont="1" applyFill="1" applyBorder="1" applyAlignment="1">
      <alignment horizontal="center" vertical="center"/>
    </xf>
    <xf numFmtId="0" fontId="8" fillId="10" borderId="6" xfId="1" applyFont="1" applyFill="1" applyBorder="1" applyAlignment="1">
      <alignment horizontal="center" vertical="center"/>
    </xf>
    <xf numFmtId="0" fontId="86" fillId="0" borderId="7" xfId="0" applyFont="1" applyBorder="1"/>
    <xf numFmtId="0" fontId="70" fillId="0" borderId="56" xfId="1" applyFont="1" applyBorder="1" applyAlignment="1" applyProtection="1">
      <alignment horizontal="center" vertical="center" wrapText="1"/>
      <protection locked="0"/>
    </xf>
    <xf numFmtId="0" fontId="67" fillId="0" borderId="23" xfId="0" applyFont="1" applyBorder="1" applyAlignment="1">
      <alignment horizontal="center" vertical="center"/>
    </xf>
    <xf numFmtId="0" fontId="67" fillId="0" borderId="53" xfId="0" applyFont="1" applyBorder="1" applyAlignment="1">
      <alignment horizontal="center" vertical="center"/>
    </xf>
    <xf numFmtId="0" fontId="67" fillId="10" borderId="23" xfId="0" applyFont="1" applyFill="1" applyBorder="1" applyAlignment="1">
      <alignment horizontal="center" vertical="center"/>
    </xf>
    <xf numFmtId="0" fontId="70" fillId="0" borderId="53" xfId="1" applyFont="1" applyBorder="1" applyAlignment="1" applyProtection="1">
      <alignment horizontal="center" vertical="center" wrapText="1"/>
      <protection locked="0"/>
    </xf>
    <xf numFmtId="0" fontId="67" fillId="0" borderId="21" xfId="0" applyFont="1" applyBorder="1" applyAlignment="1">
      <alignment horizontal="center" vertical="center"/>
    </xf>
    <xf numFmtId="0" fontId="67" fillId="10" borderId="17" xfId="0" applyFont="1" applyFill="1" applyBorder="1" applyAlignment="1">
      <alignment horizontal="center" vertical="center"/>
    </xf>
    <xf numFmtId="0" fontId="70" fillId="0" borderId="17" xfId="1" applyFont="1" applyBorder="1" applyAlignment="1" applyProtection="1">
      <alignment horizontal="center" vertical="center" wrapText="1"/>
      <protection locked="0"/>
    </xf>
    <xf numFmtId="0" fontId="67" fillId="0" borderId="58" xfId="0" applyFont="1" applyBorder="1" applyAlignment="1">
      <alignment horizontal="center" vertical="center"/>
    </xf>
    <xf numFmtId="0" fontId="67" fillId="10" borderId="45" xfId="0" applyFont="1" applyFill="1" applyBorder="1" applyAlignment="1">
      <alignment horizontal="center" vertical="center"/>
    </xf>
    <xf numFmtId="0" fontId="67" fillId="0" borderId="50" xfId="0" applyFont="1" applyBorder="1" applyAlignment="1">
      <alignment horizontal="center" vertical="center"/>
    </xf>
    <xf numFmtId="0" fontId="51" fillId="3" borderId="1" xfId="1" applyFont="1" applyFill="1" applyBorder="1" applyAlignment="1">
      <alignment horizontal="center" vertical="center"/>
    </xf>
    <xf numFmtId="49" fontId="51" fillId="3" borderId="4" xfId="1" applyNumberFormat="1" applyFont="1" applyFill="1" applyBorder="1" applyAlignment="1">
      <alignment horizontal="center" vertical="center"/>
    </xf>
    <xf numFmtId="0" fontId="58" fillId="3" borderId="62" xfId="0" applyFont="1" applyFill="1" applyBorder="1" applyAlignment="1">
      <alignment horizontal="center" vertical="center" wrapText="1"/>
    </xf>
    <xf numFmtId="0" fontId="58" fillId="3" borderId="13" xfId="0" applyFont="1" applyFill="1" applyBorder="1" applyAlignment="1">
      <alignment horizontal="center" vertical="center" wrapText="1"/>
    </xf>
    <xf numFmtId="0" fontId="58" fillId="3" borderId="14" xfId="0" applyFont="1" applyFill="1" applyBorder="1" applyAlignment="1">
      <alignment horizontal="center" vertical="center" wrapText="1"/>
    </xf>
    <xf numFmtId="0" fontId="61" fillId="4" borderId="0" xfId="1" applyFont="1" applyFill="1" applyAlignment="1" applyProtection="1">
      <alignment horizontal="center" vertical="center" wrapText="1"/>
      <protection locked="0"/>
    </xf>
    <xf numFmtId="0" fontId="88" fillId="4" borderId="17" xfId="1" applyFont="1" applyFill="1" applyBorder="1" applyAlignment="1">
      <alignment horizontal="left" vertical="center" wrapText="1"/>
    </xf>
    <xf numFmtId="0" fontId="68" fillId="10" borderId="2" xfId="1" applyFont="1" applyFill="1" applyBorder="1" applyAlignment="1">
      <alignment vertical="center"/>
    </xf>
    <xf numFmtId="0" fontId="68" fillId="10" borderId="3" xfId="1" applyFont="1" applyFill="1" applyBorder="1" applyAlignment="1">
      <alignment vertical="center"/>
    </xf>
    <xf numFmtId="0" fontId="67" fillId="10" borderId="0" xfId="1" applyFont="1" applyFill="1" applyAlignment="1">
      <alignment vertical="center"/>
    </xf>
    <xf numFmtId="0" fontId="68" fillId="10" borderId="0" xfId="1" applyFont="1" applyFill="1" applyAlignment="1">
      <alignment vertical="center"/>
    </xf>
    <xf numFmtId="0" fontId="68" fillId="10" borderId="11" xfId="1" applyFont="1" applyFill="1" applyBorder="1" applyAlignment="1">
      <alignment vertical="center"/>
    </xf>
    <xf numFmtId="0" fontId="67" fillId="10" borderId="5" xfId="1" applyFont="1" applyFill="1" applyBorder="1" applyAlignment="1">
      <alignment vertical="center"/>
    </xf>
    <xf numFmtId="0" fontId="68" fillId="10" borderId="6" xfId="1" applyFont="1" applyFill="1" applyBorder="1" applyAlignment="1">
      <alignment vertical="center"/>
    </xf>
    <xf numFmtId="0" fontId="10" fillId="0" borderId="0" xfId="0" applyFont="1"/>
    <xf numFmtId="0" fontId="10" fillId="9" borderId="0" xfId="0" applyFont="1" applyFill="1"/>
    <xf numFmtId="0" fontId="10" fillId="0" borderId="83" xfId="0" applyFont="1" applyBorder="1" applyAlignment="1">
      <alignment horizontal="center" vertical="center"/>
    </xf>
    <xf numFmtId="0" fontId="91" fillId="12" borderId="83" xfId="0" applyFont="1" applyFill="1" applyBorder="1" applyAlignment="1">
      <alignment horizontal="center" vertical="center"/>
    </xf>
    <xf numFmtId="0" fontId="91" fillId="12" borderId="17" xfId="0" applyFont="1" applyFill="1" applyBorder="1" applyAlignment="1">
      <alignment horizontal="center" vertical="center"/>
    </xf>
    <xf numFmtId="0" fontId="10" fillId="0" borderId="86" xfId="0" applyFont="1" applyBorder="1" applyAlignment="1">
      <alignment horizontal="center" vertical="center"/>
    </xf>
    <xf numFmtId="0" fontId="10" fillId="0" borderId="89" xfId="0" applyFont="1" applyBorder="1" applyAlignment="1">
      <alignment horizontal="center" vertical="center"/>
    </xf>
    <xf numFmtId="0" fontId="92" fillId="12" borderId="83" xfId="0" applyFont="1" applyFill="1" applyBorder="1" applyAlignment="1">
      <alignment horizontal="center" vertical="center"/>
    </xf>
    <xf numFmtId="0" fontId="92" fillId="12" borderId="17" xfId="0" applyFont="1" applyFill="1" applyBorder="1" applyAlignment="1">
      <alignment horizontal="center" vertical="center"/>
    </xf>
    <xf numFmtId="49" fontId="19" fillId="0" borderId="22" xfId="2" applyNumberFormat="1" applyFont="1" applyBorder="1" applyAlignment="1">
      <alignment horizontal="center" vertical="center"/>
    </xf>
    <xf numFmtId="14" fontId="19" fillId="0" borderId="45" xfId="2" applyNumberFormat="1" applyFont="1" applyBorder="1" applyAlignment="1">
      <alignment horizontal="center" vertical="center"/>
    </xf>
    <xf numFmtId="0" fontId="19" fillId="0" borderId="45" xfId="2" applyFont="1" applyBorder="1" applyAlignment="1">
      <alignment horizontal="center" vertical="center" wrapText="1"/>
    </xf>
    <xf numFmtId="0" fontId="19" fillId="0" borderId="45" xfId="2" applyFont="1" applyBorder="1" applyAlignment="1">
      <alignment horizontal="center" vertical="center"/>
    </xf>
    <xf numFmtId="0" fontId="19" fillId="0" borderId="49" xfId="2" applyFont="1" applyBorder="1" applyAlignment="1">
      <alignment horizontal="center" vertical="center"/>
    </xf>
    <xf numFmtId="0" fontId="86" fillId="0" borderId="0" xfId="0" applyFont="1"/>
    <xf numFmtId="0" fontId="86" fillId="10" borderId="0" xfId="0" applyFont="1" applyFill="1"/>
    <xf numFmtId="0" fontId="14" fillId="0" borderId="0" xfId="0" applyFont="1"/>
    <xf numFmtId="0" fontId="0" fillId="0" borderId="0" xfId="0" applyAlignment="1">
      <alignment horizontal="center"/>
    </xf>
    <xf numFmtId="0" fontId="0" fillId="13" borderId="0" xfId="0" applyFill="1" applyAlignment="1">
      <alignment horizontal="center"/>
    </xf>
    <xf numFmtId="0" fontId="0" fillId="14" borderId="0" xfId="0" applyFill="1" applyAlignment="1">
      <alignment horizontal="center"/>
    </xf>
    <xf numFmtId="0" fontId="93" fillId="17" borderId="0" xfId="0" applyFont="1" applyFill="1" applyAlignment="1">
      <alignment horizontal="center"/>
    </xf>
    <xf numFmtId="0" fontId="93" fillId="16" borderId="0" xfId="0" applyFont="1" applyFill="1" applyAlignment="1">
      <alignment horizontal="center"/>
    </xf>
    <xf numFmtId="0" fontId="93" fillId="15" borderId="0" xfId="0" applyFont="1" applyFill="1" applyAlignment="1">
      <alignment horizontal="center"/>
    </xf>
    <xf numFmtId="0" fontId="0" fillId="18" borderId="0" xfId="0" applyFill="1" applyAlignment="1">
      <alignment horizontal="center"/>
    </xf>
    <xf numFmtId="0" fontId="93" fillId="3" borderId="0" xfId="0" applyFont="1" applyFill="1" applyAlignment="1">
      <alignment horizontal="center"/>
    </xf>
    <xf numFmtId="0" fontId="0" fillId="19" borderId="0" xfId="0" applyFill="1" applyAlignment="1">
      <alignment horizontal="center"/>
    </xf>
    <xf numFmtId="0" fontId="0" fillId="10" borderId="0" xfId="0" applyFill="1" applyAlignment="1">
      <alignment horizontal="center"/>
    </xf>
    <xf numFmtId="0" fontId="46" fillId="3" borderId="1" xfId="1" applyFont="1" applyFill="1" applyBorder="1" applyAlignment="1">
      <alignment horizontal="center" vertical="center" wrapText="1"/>
    </xf>
    <xf numFmtId="0" fontId="46" fillId="3" borderId="2" xfId="1" applyFont="1" applyFill="1" applyBorder="1" applyAlignment="1">
      <alignment horizontal="center" vertical="center" wrapText="1"/>
    </xf>
    <xf numFmtId="0" fontId="46" fillId="3" borderId="4" xfId="1" applyFont="1" applyFill="1" applyBorder="1" applyAlignment="1">
      <alignment horizontal="center" vertical="center" wrapText="1"/>
    </xf>
    <xf numFmtId="0" fontId="46" fillId="3" borderId="5" xfId="1" applyFont="1" applyFill="1" applyBorder="1" applyAlignment="1">
      <alignment horizontal="center" vertical="center" wrapText="1"/>
    </xf>
    <xf numFmtId="0" fontId="43" fillId="10" borderId="76" xfId="1" applyFont="1" applyFill="1" applyBorder="1" applyAlignment="1">
      <alignment horizontal="center" vertical="center" wrapText="1"/>
    </xf>
    <xf numFmtId="0" fontId="43" fillId="10" borderId="49" xfId="1" applyFont="1" applyFill="1" applyBorder="1" applyAlignment="1">
      <alignment horizontal="center" vertical="center" wrapText="1"/>
    </xf>
    <xf numFmtId="0" fontId="43" fillId="10" borderId="77" xfId="1" applyFont="1" applyFill="1" applyBorder="1" applyAlignment="1">
      <alignment horizontal="center" vertical="center" wrapText="1"/>
    </xf>
    <xf numFmtId="0" fontId="8" fillId="4" borderId="39" xfId="1" applyFont="1" applyFill="1" applyBorder="1" applyAlignment="1">
      <alignment horizontal="left" vertical="center" wrapText="1"/>
    </xf>
    <xf numFmtId="0" fontId="8" fillId="4" borderId="45" xfId="1" applyFont="1" applyFill="1" applyBorder="1" applyAlignment="1">
      <alignment horizontal="left" vertical="center" wrapText="1"/>
    </xf>
    <xf numFmtId="0" fontId="8" fillId="4" borderId="63" xfId="1" applyFont="1" applyFill="1" applyBorder="1" applyAlignment="1">
      <alignment horizontal="left" vertical="center" wrapText="1"/>
    </xf>
    <xf numFmtId="0" fontId="43" fillId="10" borderId="65" xfId="1" applyFont="1" applyFill="1" applyBorder="1" applyAlignment="1">
      <alignment horizontal="center" vertical="center"/>
    </xf>
    <xf numFmtId="0" fontId="43" fillId="10" borderId="66" xfId="1" applyFont="1" applyFill="1" applyBorder="1" applyAlignment="1">
      <alignment horizontal="center" vertical="center"/>
    </xf>
    <xf numFmtId="0" fontId="43" fillId="10" borderId="67" xfId="1" applyFont="1" applyFill="1" applyBorder="1" applyAlignment="1">
      <alignment horizontal="center" vertical="center"/>
    </xf>
    <xf numFmtId="0" fontId="42" fillId="3" borderId="13" xfId="1" applyFont="1" applyFill="1" applyBorder="1" applyAlignment="1">
      <alignment horizontal="center" vertical="center" wrapText="1"/>
    </xf>
    <xf numFmtId="0" fontId="50" fillId="0" borderId="14" xfId="0" applyFont="1" applyBorder="1" applyAlignment="1">
      <alignment horizontal="center" vertical="center" wrapText="1"/>
    </xf>
    <xf numFmtId="0" fontId="8" fillId="10" borderId="0" xfId="1" applyFont="1" applyFill="1" applyAlignment="1">
      <alignment horizontal="center" vertical="center"/>
    </xf>
    <xf numFmtId="0" fontId="8" fillId="10" borderId="17" xfId="1" applyFont="1" applyFill="1" applyBorder="1" applyAlignment="1">
      <alignment horizontal="left" vertical="center"/>
    </xf>
    <xf numFmtId="0" fontId="8" fillId="10" borderId="17" xfId="1" applyFont="1" applyFill="1" applyBorder="1" applyAlignment="1">
      <alignment horizontal="left" vertical="center" wrapText="1"/>
    </xf>
    <xf numFmtId="0" fontId="41" fillId="11" borderId="8" xfId="1" applyFont="1" applyFill="1" applyBorder="1" applyAlignment="1">
      <alignment horizontal="center" vertical="center"/>
    </xf>
    <xf numFmtId="0" fontId="41" fillId="11" borderId="9" xfId="1" applyFont="1" applyFill="1" applyBorder="1" applyAlignment="1">
      <alignment horizontal="center" vertical="center"/>
    </xf>
    <xf numFmtId="0" fontId="8" fillId="7" borderId="68" xfId="1" applyFont="1" applyFill="1" applyBorder="1" applyAlignment="1">
      <alignment horizontal="center" vertical="center"/>
    </xf>
    <xf numFmtId="0" fontId="8" fillId="7" borderId="10" xfId="1" applyFont="1" applyFill="1" applyBorder="1" applyAlignment="1">
      <alignment horizontal="center" vertical="center"/>
    </xf>
    <xf numFmtId="0" fontId="64" fillId="4" borderId="41" xfId="1" applyFont="1" applyFill="1" applyBorder="1" applyAlignment="1">
      <alignment horizontal="center" vertical="center"/>
    </xf>
    <xf numFmtId="0" fontId="64" fillId="4" borderId="53" xfId="1" applyFont="1" applyFill="1" applyBorder="1" applyAlignment="1">
      <alignment horizontal="center" vertical="center"/>
    </xf>
    <xf numFmtId="0" fontId="7" fillId="10" borderId="0" xfId="1" applyFont="1" applyFill="1" applyAlignment="1">
      <alignment horizontal="center" vertical="center"/>
    </xf>
    <xf numFmtId="0" fontId="8" fillId="4" borderId="18" xfId="1" applyFont="1" applyFill="1" applyBorder="1" applyAlignment="1">
      <alignment horizontal="center" vertical="center"/>
    </xf>
    <xf numFmtId="0" fontId="8" fillId="4" borderId="21" xfId="1" applyFont="1" applyFill="1" applyBorder="1" applyAlignment="1">
      <alignment horizontal="center" vertical="center"/>
    </xf>
    <xf numFmtId="0" fontId="8" fillId="4" borderId="46" xfId="1" applyFont="1" applyFill="1" applyBorder="1" applyAlignment="1">
      <alignment horizontal="center" vertical="center"/>
    </xf>
    <xf numFmtId="0" fontId="8" fillId="4" borderId="56" xfId="1" applyFont="1" applyFill="1" applyBorder="1" applyAlignment="1">
      <alignment horizontal="center" vertical="center"/>
    </xf>
    <xf numFmtId="0" fontId="8" fillId="10" borderId="10" xfId="1" applyFont="1" applyFill="1" applyBorder="1" applyAlignment="1">
      <alignment horizontal="center" vertical="center"/>
    </xf>
    <xf numFmtId="0" fontId="8" fillId="7" borderId="60" xfId="1" applyFont="1" applyFill="1" applyBorder="1" applyAlignment="1">
      <alignment horizontal="center" vertical="center"/>
    </xf>
    <xf numFmtId="0" fontId="8" fillId="7" borderId="40" xfId="1" applyFont="1" applyFill="1" applyBorder="1" applyAlignment="1">
      <alignment horizontal="center" vertical="center"/>
    </xf>
    <xf numFmtId="0" fontId="8" fillId="7" borderId="24" xfId="1" applyFont="1" applyFill="1" applyBorder="1" applyAlignment="1">
      <alignment horizontal="center" vertical="center"/>
    </xf>
    <xf numFmtId="0" fontId="8" fillId="10" borderId="18" xfId="1" applyFont="1" applyFill="1" applyBorder="1" applyAlignment="1">
      <alignment horizontal="left" vertical="center"/>
    </xf>
    <xf numFmtId="0" fontId="8" fillId="10" borderId="24" xfId="1" applyFont="1" applyFill="1" applyBorder="1" applyAlignment="1">
      <alignment horizontal="left" vertical="center"/>
    </xf>
    <xf numFmtId="49" fontId="48" fillId="4" borderId="65" xfId="1" applyNumberFormat="1" applyFont="1" applyFill="1" applyBorder="1" applyAlignment="1">
      <alignment horizontal="center" vertical="center" textRotation="90" wrapText="1"/>
    </xf>
    <xf numFmtId="49" fontId="48" fillId="4" borderId="66" xfId="1" applyNumberFormat="1" applyFont="1" applyFill="1" applyBorder="1" applyAlignment="1">
      <alignment horizontal="center" vertical="center" textRotation="90" wrapText="1"/>
    </xf>
    <xf numFmtId="49" fontId="48" fillId="4" borderId="67" xfId="1" applyNumberFormat="1" applyFont="1" applyFill="1" applyBorder="1" applyAlignment="1">
      <alignment horizontal="center" vertical="center" textRotation="90" wrapText="1"/>
    </xf>
    <xf numFmtId="0" fontId="8" fillId="10" borderId="36" xfId="1" applyFont="1" applyFill="1" applyBorder="1" applyAlignment="1">
      <alignment horizontal="left" vertical="center" wrapText="1"/>
    </xf>
    <xf numFmtId="0" fontId="8" fillId="10" borderId="36" xfId="1" applyFont="1" applyFill="1" applyBorder="1" applyAlignment="1">
      <alignment horizontal="left" vertical="center"/>
    </xf>
    <xf numFmtId="0" fontId="8" fillId="10" borderId="50" xfId="1" applyFont="1" applyFill="1" applyBorder="1" applyAlignment="1">
      <alignment horizontal="left" vertical="center"/>
    </xf>
    <xf numFmtId="0" fontId="8" fillId="10" borderId="50" xfId="1" applyFont="1" applyFill="1" applyBorder="1" applyAlignment="1">
      <alignment horizontal="left" vertical="center" wrapText="1"/>
    </xf>
    <xf numFmtId="0" fontId="8" fillId="4" borderId="34" xfId="1" applyFont="1" applyFill="1" applyBorder="1" applyAlignment="1">
      <alignment horizontal="center" vertical="center"/>
    </xf>
    <xf numFmtId="0" fontId="8" fillId="4" borderId="44" xfId="1" applyFont="1" applyFill="1" applyBorder="1" applyAlignment="1">
      <alignment horizontal="center" vertical="center"/>
    </xf>
    <xf numFmtId="0" fontId="8" fillId="10" borderId="5" xfId="1" applyFont="1" applyFill="1" applyBorder="1" applyAlignment="1">
      <alignment horizontal="center" vertical="center"/>
    </xf>
    <xf numFmtId="0" fontId="8" fillId="7" borderId="59" xfId="1" applyFont="1" applyFill="1" applyBorder="1" applyAlignment="1">
      <alignment horizontal="center" vertical="center"/>
    </xf>
    <xf numFmtId="49" fontId="48" fillId="4" borderId="32" xfId="1" applyNumberFormat="1" applyFont="1" applyFill="1" applyBorder="1" applyAlignment="1">
      <alignment horizontal="center" vertical="center" textRotation="90" wrapText="1"/>
    </xf>
    <xf numFmtId="49" fontId="48" fillId="4" borderId="45" xfId="1" applyNumberFormat="1" applyFont="1" applyFill="1" applyBorder="1" applyAlignment="1">
      <alignment horizontal="center" vertical="center" textRotation="90" wrapText="1"/>
    </xf>
    <xf numFmtId="49" fontId="48" fillId="4" borderId="23" xfId="1" applyNumberFormat="1" applyFont="1" applyFill="1" applyBorder="1" applyAlignment="1">
      <alignment horizontal="center" vertical="center" textRotation="90" wrapText="1"/>
    </xf>
    <xf numFmtId="0" fontId="8" fillId="10" borderId="41" xfId="1" applyFont="1" applyFill="1" applyBorder="1" applyAlignment="1">
      <alignment horizontal="left" vertical="center" wrapText="1"/>
    </xf>
    <xf numFmtId="0" fontId="10" fillId="0" borderId="10" xfId="0" applyFont="1" applyBorder="1" applyAlignment="1">
      <alignment horizontal="left" vertical="center" wrapText="1"/>
    </xf>
    <xf numFmtId="0" fontId="10" fillId="0" borderId="53" xfId="0" applyFont="1" applyBorder="1" applyAlignment="1">
      <alignment horizontal="left" vertical="center" wrapText="1"/>
    </xf>
    <xf numFmtId="49" fontId="48" fillId="4" borderId="69" xfId="1" applyNumberFormat="1" applyFont="1" applyFill="1" applyBorder="1" applyAlignment="1">
      <alignment horizontal="center" vertical="center" textRotation="90" wrapText="1"/>
    </xf>
    <xf numFmtId="49" fontId="48" fillId="4" borderId="70" xfId="1" applyNumberFormat="1" applyFont="1" applyFill="1" applyBorder="1" applyAlignment="1">
      <alignment horizontal="center" vertical="center" textRotation="90" wrapText="1"/>
    </xf>
    <xf numFmtId="49" fontId="48" fillId="4" borderId="71" xfId="1" applyNumberFormat="1" applyFont="1" applyFill="1" applyBorder="1" applyAlignment="1">
      <alignment horizontal="center" vertical="center" textRotation="90" wrapText="1"/>
    </xf>
    <xf numFmtId="0" fontId="10" fillId="0" borderId="17" xfId="0" applyFont="1" applyBorder="1" applyAlignment="1">
      <alignment horizontal="left" vertical="center"/>
    </xf>
    <xf numFmtId="0" fontId="38" fillId="0" borderId="17" xfId="0" applyFont="1" applyBorder="1" applyAlignment="1">
      <alignment horizontal="left" vertical="center"/>
    </xf>
    <xf numFmtId="0" fontId="42" fillId="3" borderId="8" xfId="1" applyFont="1" applyFill="1" applyBorder="1" applyAlignment="1">
      <alignment horizontal="center" vertical="center" wrapText="1"/>
    </xf>
    <xf numFmtId="0" fontId="50" fillId="0" borderId="8" xfId="0" applyFont="1" applyBorder="1" applyAlignment="1">
      <alignment horizontal="center" vertical="center" wrapText="1"/>
    </xf>
    <xf numFmtId="0" fontId="50" fillId="0" borderId="64" xfId="0" applyFont="1" applyBorder="1" applyAlignment="1">
      <alignment horizontal="center" vertical="center" wrapText="1"/>
    </xf>
    <xf numFmtId="0" fontId="10" fillId="0" borderId="32" xfId="0" applyFont="1" applyBorder="1" applyAlignment="1">
      <alignment vertical="center"/>
    </xf>
    <xf numFmtId="0" fontId="38" fillId="0" borderId="32" xfId="0" applyFont="1" applyBorder="1" applyAlignment="1">
      <alignment vertical="center"/>
    </xf>
    <xf numFmtId="0" fontId="8" fillId="10" borderId="18" xfId="1" applyFont="1" applyFill="1" applyBorder="1" applyAlignment="1">
      <alignment horizontal="left" vertical="center" wrapText="1"/>
    </xf>
    <xf numFmtId="0" fontId="10" fillId="10" borderId="24" xfId="0" applyFont="1" applyFill="1" applyBorder="1" applyAlignment="1">
      <alignment horizontal="left" vertical="center" wrapText="1"/>
    </xf>
    <xf numFmtId="0" fontId="8" fillId="10" borderId="32" xfId="1" applyFont="1" applyFill="1" applyBorder="1" applyAlignment="1">
      <alignment horizontal="left" vertical="center"/>
    </xf>
    <xf numFmtId="0" fontId="8" fillId="10" borderId="3" xfId="1" applyFont="1" applyFill="1" applyBorder="1" applyAlignment="1" applyProtection="1">
      <alignment horizontal="center" vertical="center" wrapText="1"/>
      <protection locked="0"/>
    </xf>
    <xf numFmtId="0" fontId="8" fillId="10" borderId="11" xfId="1" applyFont="1" applyFill="1" applyBorder="1" applyAlignment="1" applyProtection="1">
      <alignment horizontal="center" vertical="center" wrapText="1"/>
      <protection locked="0"/>
    </xf>
    <xf numFmtId="0" fontId="8" fillId="10" borderId="6" xfId="1" applyFont="1" applyFill="1" applyBorder="1" applyAlignment="1" applyProtection="1">
      <alignment horizontal="center" vertical="center" wrapText="1"/>
      <protection locked="0"/>
    </xf>
    <xf numFmtId="0" fontId="34" fillId="5" borderId="1" xfId="0" applyFont="1" applyFill="1" applyBorder="1" applyAlignment="1">
      <alignment horizontal="center" vertical="center" wrapText="1"/>
    </xf>
    <xf numFmtId="0" fontId="35" fillId="5" borderId="2" xfId="0" applyFont="1" applyFill="1" applyBorder="1" applyAlignment="1">
      <alignment vertical="center" wrapText="1"/>
    </xf>
    <xf numFmtId="0" fontId="35" fillId="5" borderId="3" xfId="0" applyFont="1" applyFill="1" applyBorder="1" applyAlignment="1">
      <alignment vertical="center" wrapText="1"/>
    </xf>
    <xf numFmtId="0" fontId="35" fillId="5" borderId="7" xfId="0" applyFont="1" applyFill="1" applyBorder="1" applyAlignment="1">
      <alignment vertical="center" wrapText="1"/>
    </xf>
    <xf numFmtId="0" fontId="35" fillId="5" borderId="0" xfId="0" applyFont="1" applyFill="1" applyAlignment="1">
      <alignment vertical="center" wrapText="1"/>
    </xf>
    <xf numFmtId="0" fontId="35" fillId="5" borderId="11" xfId="0" applyFont="1" applyFill="1" applyBorder="1" applyAlignment="1">
      <alignment vertical="center" wrapText="1"/>
    </xf>
    <xf numFmtId="0" fontId="10" fillId="0" borderId="23" xfId="0" applyFont="1" applyBorder="1" applyAlignment="1">
      <alignment horizontal="left" vertical="center" wrapText="1"/>
    </xf>
    <xf numFmtId="0" fontId="10" fillId="0" borderId="17" xfId="0" applyFont="1" applyBorder="1" applyAlignment="1">
      <alignment horizontal="left" vertical="center" wrapText="1"/>
    </xf>
    <xf numFmtId="0" fontId="38" fillId="0" borderId="17" xfId="0" applyFont="1" applyBorder="1" applyAlignment="1">
      <alignment horizontal="left" vertical="center" wrapText="1"/>
    </xf>
    <xf numFmtId="0" fontId="42" fillId="3" borderId="8" xfId="1" applyFont="1" applyFill="1" applyBorder="1" applyAlignment="1">
      <alignment horizontal="center" vertical="center"/>
    </xf>
    <xf numFmtId="0" fontId="50" fillId="0" borderId="8" xfId="0" applyFont="1" applyBorder="1" applyAlignment="1">
      <alignment horizontal="center" vertical="center"/>
    </xf>
    <xf numFmtId="0" fontId="0" fillId="10" borderId="17" xfId="0" applyFill="1" applyBorder="1" applyAlignment="1">
      <alignment horizontal="left" vertical="center"/>
    </xf>
    <xf numFmtId="0" fontId="8" fillId="7" borderId="27" xfId="1" applyFont="1" applyFill="1" applyBorder="1" applyAlignment="1">
      <alignment horizontal="center" vertical="center"/>
    </xf>
    <xf numFmtId="0" fontId="42" fillId="3" borderId="12" xfId="1" applyFont="1" applyFill="1" applyBorder="1" applyAlignment="1">
      <alignment horizontal="center" vertical="center" wrapText="1"/>
    </xf>
    <xf numFmtId="0" fontId="60" fillId="10" borderId="0" xfId="1" applyFont="1" applyFill="1" applyAlignment="1">
      <alignment horizontal="center" vertical="center"/>
    </xf>
    <xf numFmtId="0" fontId="60" fillId="10" borderId="17" xfId="1" applyFont="1" applyFill="1" applyBorder="1" applyAlignment="1">
      <alignment horizontal="left" vertical="center" wrapText="1"/>
    </xf>
    <xf numFmtId="0" fontId="63" fillId="10" borderId="17" xfId="0" applyFont="1" applyFill="1" applyBorder="1" applyAlignment="1">
      <alignment horizontal="left" vertical="center"/>
    </xf>
    <xf numFmtId="0" fontId="63" fillId="10" borderId="20" xfId="0" applyFont="1" applyFill="1" applyBorder="1" applyAlignment="1">
      <alignment horizontal="left" vertical="center"/>
    </xf>
    <xf numFmtId="0" fontId="60" fillId="10" borderId="17" xfId="1" applyFont="1" applyFill="1" applyBorder="1" applyAlignment="1">
      <alignment horizontal="left" vertical="center"/>
    </xf>
    <xf numFmtId="0" fontId="60" fillId="10" borderId="20" xfId="1" applyFont="1" applyFill="1" applyBorder="1" applyAlignment="1">
      <alignment horizontal="left" vertical="center"/>
    </xf>
    <xf numFmtId="0" fontId="8" fillId="4" borderId="54" xfId="1" applyFont="1" applyFill="1" applyBorder="1" applyAlignment="1">
      <alignment horizontal="left" vertical="center" wrapText="1"/>
    </xf>
    <xf numFmtId="0" fontId="8" fillId="4" borderId="58" xfId="1" applyFont="1" applyFill="1" applyBorder="1" applyAlignment="1">
      <alignment horizontal="left" vertical="center" wrapText="1"/>
    </xf>
    <xf numFmtId="0" fontId="8" fillId="4" borderId="61" xfId="1" applyFont="1" applyFill="1" applyBorder="1" applyAlignment="1">
      <alignment horizontal="left" vertical="center" wrapText="1"/>
    </xf>
    <xf numFmtId="0" fontId="8" fillId="0" borderId="39" xfId="1" applyFont="1" applyBorder="1" applyAlignment="1" applyProtection="1">
      <alignment horizontal="left" vertical="center" wrapText="1"/>
      <protection locked="0"/>
    </xf>
    <xf numFmtId="0" fontId="8" fillId="0" borderId="45" xfId="1" applyFont="1" applyBorder="1" applyAlignment="1" applyProtection="1">
      <alignment horizontal="left" vertical="center" wrapText="1"/>
      <protection locked="0"/>
    </xf>
    <xf numFmtId="0" fontId="8" fillId="0" borderId="63" xfId="1" applyFont="1" applyBorder="1" applyAlignment="1" applyProtection="1">
      <alignment horizontal="left" vertical="center" wrapText="1"/>
      <protection locked="0"/>
    </xf>
    <xf numFmtId="0" fontId="8" fillId="10" borderId="39" xfId="1" applyFont="1" applyFill="1" applyBorder="1" applyAlignment="1" applyProtection="1">
      <alignment horizontal="center" vertical="center" wrapText="1"/>
      <protection locked="0"/>
    </xf>
    <xf numFmtId="0" fontId="8" fillId="10" borderId="45" xfId="1" applyFont="1" applyFill="1" applyBorder="1" applyAlignment="1" applyProtection="1">
      <alignment horizontal="center" vertical="center" wrapText="1"/>
      <protection locked="0"/>
    </xf>
    <xf numFmtId="0" fontId="8" fillId="10" borderId="63" xfId="1" applyFont="1" applyFill="1" applyBorder="1" applyAlignment="1" applyProtection="1">
      <alignment horizontal="center" vertical="center" wrapText="1"/>
      <protection locked="0"/>
    </xf>
    <xf numFmtId="0" fontId="60" fillId="10" borderId="50" xfId="1" applyFont="1" applyFill="1" applyBorder="1" applyAlignment="1">
      <alignment horizontal="left" vertical="center" wrapText="1"/>
    </xf>
    <xf numFmtId="0" fontId="60" fillId="10" borderId="50" xfId="1" applyFont="1" applyFill="1" applyBorder="1" applyAlignment="1">
      <alignment horizontal="left" vertical="center"/>
    </xf>
    <xf numFmtId="0" fontId="60" fillId="10" borderId="57" xfId="1" applyFont="1" applyFill="1" applyBorder="1" applyAlignment="1">
      <alignment horizontal="left" vertical="center"/>
    </xf>
    <xf numFmtId="0" fontId="60" fillId="7" borderId="60" xfId="1" applyFont="1" applyFill="1" applyBorder="1" applyAlignment="1">
      <alignment horizontal="center" vertical="center"/>
    </xf>
    <xf numFmtId="0" fontId="60" fillId="7" borderId="40" xfId="1" applyFont="1" applyFill="1" applyBorder="1" applyAlignment="1">
      <alignment horizontal="center" vertical="center"/>
    </xf>
    <xf numFmtId="0" fontId="60" fillId="4" borderId="34" xfId="1" applyFont="1" applyFill="1" applyBorder="1" applyAlignment="1">
      <alignment horizontal="center" vertical="center"/>
    </xf>
    <xf numFmtId="0" fontId="60" fillId="4" borderId="44" xfId="1" applyFont="1" applyFill="1" applyBorder="1" applyAlignment="1">
      <alignment horizontal="center" vertical="center"/>
    </xf>
    <xf numFmtId="0" fontId="60" fillId="10" borderId="5" xfId="1" applyFont="1" applyFill="1" applyBorder="1" applyAlignment="1">
      <alignment horizontal="center" vertical="center"/>
    </xf>
    <xf numFmtId="0" fontId="58" fillId="3" borderId="64" xfId="1" applyFont="1" applyFill="1" applyBorder="1" applyAlignment="1">
      <alignment horizontal="center" vertical="center" wrapText="1"/>
    </xf>
    <xf numFmtId="0" fontId="71" fillId="0" borderId="14" xfId="0" applyFont="1" applyBorder="1" applyAlignment="1">
      <alignment horizontal="center" vertical="center" wrapText="1"/>
    </xf>
    <xf numFmtId="0" fontId="71" fillId="0" borderId="15" xfId="0" applyFont="1" applyBorder="1" applyAlignment="1">
      <alignment horizontal="center" vertical="center" wrapText="1"/>
    </xf>
    <xf numFmtId="49" fontId="81" fillId="4" borderId="65" xfId="1" applyNumberFormat="1" applyFont="1" applyFill="1" applyBorder="1" applyAlignment="1">
      <alignment horizontal="center" vertical="center" textRotation="90" wrapText="1"/>
    </xf>
    <xf numFmtId="49" fontId="81" fillId="4" borderId="66" xfId="1" applyNumberFormat="1" applyFont="1" applyFill="1" applyBorder="1" applyAlignment="1">
      <alignment horizontal="center" vertical="center" textRotation="90" wrapText="1"/>
    </xf>
    <xf numFmtId="49" fontId="81" fillId="4" borderId="67" xfId="1" applyNumberFormat="1" applyFont="1" applyFill="1" applyBorder="1" applyAlignment="1">
      <alignment horizontal="center" vertical="center" textRotation="90" wrapText="1"/>
    </xf>
    <xf numFmtId="0" fontId="60" fillId="10" borderId="36" xfId="1" applyFont="1" applyFill="1" applyBorder="1" applyAlignment="1">
      <alignment horizontal="left" vertical="center" wrapText="1"/>
    </xf>
    <xf numFmtId="0" fontId="60" fillId="10" borderId="36" xfId="1" applyFont="1" applyFill="1" applyBorder="1" applyAlignment="1">
      <alignment horizontal="left" vertical="center"/>
    </xf>
    <xf numFmtId="0" fontId="60" fillId="10" borderId="37" xfId="1" applyFont="1" applyFill="1" applyBorder="1" applyAlignment="1">
      <alignment horizontal="left" vertical="center"/>
    </xf>
    <xf numFmtId="0" fontId="60" fillId="7" borderId="68" xfId="1" applyFont="1" applyFill="1" applyBorder="1" applyAlignment="1">
      <alignment horizontal="center" vertical="center"/>
    </xf>
    <xf numFmtId="0" fontId="60" fillId="7" borderId="10" xfId="1" applyFont="1" applyFill="1" applyBorder="1" applyAlignment="1">
      <alignment horizontal="center" vertical="center"/>
    </xf>
    <xf numFmtId="0" fontId="70" fillId="10" borderId="39" xfId="1" applyFont="1" applyFill="1" applyBorder="1" applyAlignment="1">
      <alignment horizontal="center" vertical="center" wrapText="1"/>
    </xf>
    <xf numFmtId="0" fontId="70" fillId="10" borderId="45" xfId="1" applyFont="1" applyFill="1" applyBorder="1" applyAlignment="1">
      <alignment horizontal="center" vertical="center" wrapText="1"/>
    </xf>
    <xf numFmtId="0" fontId="70" fillId="10" borderId="63" xfId="1" applyFont="1" applyFill="1" applyBorder="1" applyAlignment="1">
      <alignment horizontal="center" vertical="center" wrapText="1"/>
    </xf>
    <xf numFmtId="0" fontId="70" fillId="10" borderId="76" xfId="1" applyFont="1" applyFill="1" applyBorder="1" applyAlignment="1">
      <alignment horizontal="center" vertical="center" wrapText="1"/>
    </xf>
    <xf numFmtId="0" fontId="70" fillId="10" borderId="49" xfId="1" applyFont="1" applyFill="1" applyBorder="1" applyAlignment="1">
      <alignment horizontal="center" vertical="center" wrapText="1"/>
    </xf>
    <xf numFmtId="0" fontId="70" fillId="10" borderId="77" xfId="1" applyFont="1" applyFill="1" applyBorder="1" applyAlignment="1">
      <alignment horizontal="center" vertical="center" wrapText="1"/>
    </xf>
    <xf numFmtId="0" fontId="61" fillId="10" borderId="0" xfId="1" applyFont="1" applyFill="1" applyAlignment="1">
      <alignment horizontal="center" vertical="center"/>
    </xf>
    <xf numFmtId="0" fontId="60" fillId="7" borderId="59" xfId="1" applyFont="1" applyFill="1" applyBorder="1" applyAlignment="1">
      <alignment horizontal="center" vertical="center"/>
    </xf>
    <xf numFmtId="0" fontId="60" fillId="7" borderId="24" xfId="1" applyFont="1" applyFill="1" applyBorder="1" applyAlignment="1">
      <alignment horizontal="center" vertical="center"/>
    </xf>
    <xf numFmtId="0" fontId="60" fillId="4" borderId="18" xfId="1" applyFont="1" applyFill="1" applyBorder="1" applyAlignment="1">
      <alignment horizontal="center" vertical="center"/>
    </xf>
    <xf numFmtId="0" fontId="60" fillId="4" borderId="21" xfId="1" applyFont="1" applyFill="1" applyBorder="1" applyAlignment="1">
      <alignment horizontal="center" vertical="center"/>
    </xf>
    <xf numFmtId="0" fontId="58" fillId="3" borderId="8" xfId="1" applyFont="1" applyFill="1" applyBorder="1" applyAlignment="1">
      <alignment horizontal="center" vertical="center" wrapText="1"/>
    </xf>
    <xf numFmtId="0" fontId="71" fillId="0" borderId="8" xfId="0" applyFont="1" applyBorder="1" applyAlignment="1">
      <alignment horizontal="center" vertical="center" wrapText="1"/>
    </xf>
    <xf numFmtId="0" fontId="71" fillId="0" borderId="9" xfId="0" applyFont="1" applyBorder="1" applyAlignment="1">
      <alignment horizontal="center" vertical="center" wrapText="1"/>
    </xf>
    <xf numFmtId="0" fontId="54" fillId="0" borderId="50" xfId="0" applyFont="1" applyBorder="1" applyAlignment="1">
      <alignment vertical="center"/>
    </xf>
    <xf numFmtId="0" fontId="54" fillId="0" borderId="57" xfId="0" applyFont="1" applyBorder="1" applyAlignment="1">
      <alignment vertical="center"/>
    </xf>
    <xf numFmtId="0" fontId="60" fillId="10" borderId="18" xfId="1" applyFont="1" applyFill="1" applyBorder="1" applyAlignment="1">
      <alignment horizontal="left" vertical="center"/>
    </xf>
    <xf numFmtId="0" fontId="60" fillId="10" borderId="24" xfId="1" applyFont="1" applyFill="1" applyBorder="1" applyAlignment="1">
      <alignment horizontal="left" vertical="center"/>
    </xf>
    <xf numFmtId="0" fontId="60" fillId="10" borderId="25" xfId="1" applyFont="1" applyFill="1" applyBorder="1" applyAlignment="1">
      <alignment horizontal="left" vertical="center"/>
    </xf>
    <xf numFmtId="0" fontId="60" fillId="10" borderId="18" xfId="1" applyFont="1" applyFill="1" applyBorder="1" applyAlignment="1">
      <alignment horizontal="left" vertical="center" wrapText="1"/>
    </xf>
    <xf numFmtId="0" fontId="54" fillId="10" borderId="24" xfId="0" applyFont="1" applyFill="1" applyBorder="1" applyAlignment="1">
      <alignment horizontal="left" vertical="center" wrapText="1"/>
    </xf>
    <xf numFmtId="0" fontId="54" fillId="10" borderId="25" xfId="0" applyFont="1" applyFill="1" applyBorder="1" applyAlignment="1">
      <alignment horizontal="left" vertical="center" wrapText="1"/>
    </xf>
    <xf numFmtId="49" fontId="81" fillId="4" borderId="69" xfId="1" applyNumberFormat="1" applyFont="1" applyFill="1" applyBorder="1" applyAlignment="1">
      <alignment horizontal="center" vertical="center" textRotation="90" wrapText="1"/>
    </xf>
    <xf numFmtId="49" fontId="81" fillId="4" borderId="70" xfId="1" applyNumberFormat="1" applyFont="1" applyFill="1" applyBorder="1" applyAlignment="1">
      <alignment horizontal="center" vertical="center" textRotation="90" wrapText="1"/>
    </xf>
    <xf numFmtId="49" fontId="81" fillId="4" borderId="71" xfId="1" applyNumberFormat="1" applyFont="1" applyFill="1" applyBorder="1" applyAlignment="1">
      <alignment horizontal="center" vertical="center" textRotation="90" wrapText="1"/>
    </xf>
    <xf numFmtId="0" fontId="60" fillId="10" borderId="35" xfId="1" applyFont="1" applyFill="1" applyBorder="1" applyAlignment="1">
      <alignment horizontal="left" vertical="center" wrapText="1"/>
    </xf>
    <xf numFmtId="0" fontId="54" fillId="0" borderId="38" xfId="0" applyFont="1" applyBorder="1" applyAlignment="1">
      <alignment horizontal="left" vertical="center" wrapText="1"/>
    </xf>
    <xf numFmtId="0" fontId="54" fillId="0" borderId="78" xfId="0" applyFont="1" applyBorder="1" applyAlignment="1">
      <alignment horizontal="left" vertical="center" wrapText="1"/>
    </xf>
    <xf numFmtId="0" fontId="60" fillId="10" borderId="20" xfId="1" applyFont="1" applyFill="1" applyBorder="1" applyAlignment="1">
      <alignment horizontal="left" vertical="center" wrapText="1"/>
    </xf>
    <xf numFmtId="0" fontId="57" fillId="10" borderId="65" xfId="1" applyFont="1" applyFill="1" applyBorder="1" applyAlignment="1">
      <alignment horizontal="center" vertical="center"/>
    </xf>
    <xf numFmtId="0" fontId="57" fillId="10" borderId="66" xfId="1" applyFont="1" applyFill="1" applyBorder="1" applyAlignment="1">
      <alignment horizontal="center" vertical="center"/>
    </xf>
    <xf numFmtId="0" fontId="57" fillId="10" borderId="67" xfId="1" applyFont="1" applyFill="1" applyBorder="1" applyAlignment="1">
      <alignment horizontal="center" vertical="center"/>
    </xf>
    <xf numFmtId="0" fontId="74" fillId="3" borderId="2" xfId="1" applyFont="1" applyFill="1" applyBorder="1" applyAlignment="1">
      <alignment horizontal="center" vertical="center" wrapText="1"/>
    </xf>
    <xf numFmtId="0" fontId="74" fillId="3" borderId="5" xfId="1" applyFont="1" applyFill="1" applyBorder="1" applyAlignment="1">
      <alignment horizontal="center" vertical="center" wrapText="1"/>
    </xf>
    <xf numFmtId="0" fontId="13" fillId="0" borderId="0" xfId="1" applyFont="1" applyAlignment="1">
      <alignment horizontal="center" vertical="center" wrapText="1"/>
    </xf>
    <xf numFmtId="0" fontId="1" fillId="0" borderId="0" xfId="1" applyAlignment="1" applyProtection="1">
      <alignment horizontal="center" vertical="top" wrapText="1"/>
      <protection locked="0"/>
    </xf>
    <xf numFmtId="0" fontId="58" fillId="3" borderId="8" xfId="1" applyFont="1" applyFill="1" applyBorder="1" applyAlignment="1">
      <alignment horizontal="center" vertical="center"/>
    </xf>
    <xf numFmtId="0" fontId="71" fillId="0" borderId="8" xfId="0" applyFont="1" applyBorder="1" applyAlignment="1">
      <alignment horizontal="center" vertical="center"/>
    </xf>
    <xf numFmtId="0" fontId="71" fillId="0" borderId="9" xfId="0" applyFont="1" applyBorder="1" applyAlignment="1">
      <alignment horizontal="center" vertical="center"/>
    </xf>
    <xf numFmtId="0" fontId="61" fillId="4" borderId="10" xfId="1" applyFont="1" applyFill="1" applyBorder="1" applyAlignment="1" applyProtection="1">
      <alignment horizontal="center" vertical="center" wrapText="1"/>
      <protection locked="0"/>
    </xf>
    <xf numFmtId="0" fontId="54" fillId="0" borderId="36" xfId="0" applyFont="1" applyBorder="1" applyAlignment="1">
      <alignment horizontal="left" vertical="center" wrapText="1"/>
    </xf>
    <xf numFmtId="0" fontId="54" fillId="0" borderId="37" xfId="0" applyFont="1" applyBorder="1" applyAlignment="1">
      <alignment horizontal="left" vertical="center" wrapText="1"/>
    </xf>
    <xf numFmtId="0" fontId="54" fillId="0" borderId="17" xfId="0" applyFont="1" applyBorder="1" applyAlignment="1">
      <alignment horizontal="left" vertical="center"/>
    </xf>
    <xf numFmtId="0" fontId="54" fillId="0" borderId="20" xfId="0" applyFont="1" applyBorder="1" applyAlignment="1">
      <alignment horizontal="left" vertical="center"/>
    </xf>
    <xf numFmtId="0" fontId="54" fillId="0" borderId="17" xfId="0" applyFont="1" applyBorder="1" applyAlignment="1">
      <alignment horizontal="left" vertical="center" wrapText="1"/>
    </xf>
    <xf numFmtId="0" fontId="54" fillId="0" borderId="20" xfId="0" applyFont="1" applyBorder="1" applyAlignment="1">
      <alignment horizontal="left" vertical="center" wrapText="1"/>
    </xf>
    <xf numFmtId="0" fontId="10" fillId="0" borderId="87" xfId="0" applyFont="1" applyBorder="1" applyAlignment="1">
      <alignment horizontal="center" vertical="center"/>
    </xf>
    <xf numFmtId="0" fontId="10" fillId="0" borderId="88" xfId="0" applyFont="1" applyBorder="1" applyAlignment="1">
      <alignment horizontal="center" vertical="center"/>
    </xf>
    <xf numFmtId="0" fontId="10" fillId="0" borderId="18" xfId="0" applyFont="1" applyBorder="1" applyAlignment="1">
      <alignment horizontal="center" vertical="center"/>
    </xf>
    <xf numFmtId="0" fontId="10" fillId="0" borderId="24" xfId="0" applyFont="1" applyBorder="1" applyAlignment="1">
      <alignment horizontal="center" vertical="center"/>
    </xf>
    <xf numFmtId="0" fontId="10" fillId="0" borderId="85" xfId="0" applyFont="1" applyBorder="1" applyAlignment="1">
      <alignment horizontal="center" vertical="center"/>
    </xf>
    <xf numFmtId="0" fontId="10" fillId="0" borderId="90" xfId="0" applyFont="1" applyBorder="1" applyAlignment="1">
      <alignment horizontal="center" vertical="center"/>
    </xf>
    <xf numFmtId="0" fontId="10" fillId="0" borderId="91" xfId="0" applyFont="1" applyBorder="1" applyAlignment="1">
      <alignment horizontal="center" vertical="center"/>
    </xf>
    <xf numFmtId="0" fontId="10" fillId="0" borderId="17" xfId="0" applyFont="1" applyBorder="1" applyAlignment="1">
      <alignment horizontal="center" vertical="center"/>
    </xf>
    <xf numFmtId="0" fontId="58" fillId="11" borderId="80" xfId="1" applyFont="1" applyFill="1" applyBorder="1" applyAlignment="1">
      <alignment horizontal="center" vertical="center"/>
    </xf>
    <xf numFmtId="0" fontId="58" fillId="11" borderId="81" xfId="1" applyFont="1" applyFill="1" applyBorder="1" applyAlignment="1">
      <alignment horizontal="center" vertical="center"/>
    </xf>
    <xf numFmtId="0" fontId="58" fillId="11" borderId="82" xfId="1" applyFont="1" applyFill="1" applyBorder="1" applyAlignment="1">
      <alignment horizontal="center" vertical="center"/>
    </xf>
    <xf numFmtId="0" fontId="91" fillId="12" borderId="17" xfId="0" applyFont="1" applyFill="1" applyBorder="1" applyAlignment="1">
      <alignment horizontal="center" vertical="center"/>
    </xf>
    <xf numFmtId="0" fontId="91" fillId="12" borderId="10" xfId="0" applyFont="1" applyFill="1" applyBorder="1" applyAlignment="1">
      <alignment horizontal="center" vertical="center"/>
    </xf>
    <xf numFmtId="0" fontId="91" fillId="12" borderId="84" xfId="0" applyFont="1" applyFill="1" applyBorder="1" applyAlignment="1">
      <alignment horizontal="center" vertical="center"/>
    </xf>
    <xf numFmtId="0" fontId="67" fillId="0" borderId="17" xfId="0" applyFont="1" applyBorder="1" applyAlignment="1">
      <alignment horizontal="left" vertical="center"/>
    </xf>
    <xf numFmtId="0" fontId="66" fillId="10" borderId="32" xfId="1" applyFont="1" applyFill="1" applyBorder="1" applyAlignment="1">
      <alignment horizontal="left" vertical="center"/>
    </xf>
    <xf numFmtId="0" fontId="75" fillId="11" borderId="12" xfId="1" applyFont="1" applyFill="1" applyBorder="1" applyAlignment="1">
      <alignment horizontal="center" vertical="center"/>
    </xf>
    <xf numFmtId="0" fontId="75" fillId="11" borderId="8" xfId="1" applyFont="1" applyFill="1" applyBorder="1" applyAlignment="1">
      <alignment horizontal="center" vertical="center"/>
    </xf>
    <xf numFmtId="0" fontId="75" fillId="11" borderId="9" xfId="1" applyFont="1" applyFill="1" applyBorder="1" applyAlignment="1">
      <alignment horizontal="center" vertical="center"/>
    </xf>
    <xf numFmtId="0" fontId="66" fillId="7" borderId="68" xfId="1" applyFont="1" applyFill="1" applyBorder="1" applyAlignment="1">
      <alignment horizontal="center" vertical="center"/>
    </xf>
    <xf numFmtId="0" fontId="66" fillId="7" borderId="10" xfId="1" applyFont="1" applyFill="1" applyBorder="1" applyAlignment="1">
      <alignment horizontal="center" vertical="center"/>
    </xf>
    <xf numFmtId="0" fontId="70" fillId="10" borderId="65" xfId="1" applyFont="1" applyFill="1" applyBorder="1" applyAlignment="1">
      <alignment horizontal="center" vertical="center" wrapText="1"/>
    </xf>
    <xf numFmtId="0" fontId="70" fillId="10" borderId="66" xfId="1" applyFont="1" applyFill="1" applyBorder="1" applyAlignment="1">
      <alignment horizontal="center" vertical="center" wrapText="1"/>
    </xf>
    <xf numFmtId="0" fontId="70" fillId="10" borderId="67" xfId="1" applyFont="1" applyFill="1" applyBorder="1" applyAlignment="1">
      <alignment horizontal="center" vertical="center" wrapText="1"/>
    </xf>
    <xf numFmtId="0" fontId="90" fillId="10" borderId="1" xfId="1" applyFont="1" applyFill="1" applyBorder="1" applyAlignment="1">
      <alignment horizontal="center" vertical="center" wrapText="1"/>
    </xf>
    <xf numFmtId="0" fontId="90" fillId="10" borderId="2" xfId="1" applyFont="1" applyFill="1" applyBorder="1" applyAlignment="1">
      <alignment horizontal="center" vertical="center" wrapText="1"/>
    </xf>
    <xf numFmtId="0" fontId="90" fillId="10" borderId="7" xfId="1" applyFont="1" applyFill="1" applyBorder="1" applyAlignment="1">
      <alignment horizontal="center" vertical="center" wrapText="1"/>
    </xf>
    <xf numFmtId="0" fontId="90" fillId="10" borderId="0" xfId="1" applyFont="1" applyFill="1" applyAlignment="1">
      <alignment horizontal="center" vertical="center" wrapText="1"/>
    </xf>
    <xf numFmtId="0" fontId="90" fillId="10" borderId="4" xfId="1" applyFont="1" applyFill="1" applyBorder="1" applyAlignment="1">
      <alignment horizontal="center" vertical="center" wrapText="1"/>
    </xf>
    <xf numFmtId="0" fontId="90" fillId="10" borderId="5" xfId="1" applyFont="1" applyFill="1" applyBorder="1" applyAlignment="1">
      <alignment horizontal="center" vertical="center" wrapText="1"/>
    </xf>
    <xf numFmtId="0" fontId="13" fillId="0" borderId="11" xfId="1" applyFont="1" applyBorder="1" applyAlignment="1">
      <alignment horizontal="center" vertical="center" wrapText="1"/>
    </xf>
    <xf numFmtId="0" fontId="58" fillId="3" borderId="8" xfId="0" applyFont="1" applyFill="1" applyBorder="1" applyAlignment="1">
      <alignment horizontal="center" vertical="center"/>
    </xf>
    <xf numFmtId="0" fontId="74" fillId="3" borderId="1" xfId="1" applyFont="1" applyFill="1" applyBorder="1" applyAlignment="1">
      <alignment horizontal="center" vertical="center" wrapText="1"/>
    </xf>
    <xf numFmtId="0" fontId="74" fillId="3" borderId="3" xfId="1" applyFont="1" applyFill="1" applyBorder="1" applyAlignment="1">
      <alignment horizontal="center" vertical="center" wrapText="1"/>
    </xf>
    <xf numFmtId="0" fontId="74" fillId="3" borderId="4" xfId="1" applyFont="1" applyFill="1" applyBorder="1" applyAlignment="1">
      <alignment horizontal="center" vertical="center" wrapText="1"/>
    </xf>
    <xf numFmtId="0" fontId="74" fillId="3" borderId="6" xfId="1" applyFont="1" applyFill="1" applyBorder="1" applyAlignment="1">
      <alignment horizontal="center" vertical="center" wrapText="1"/>
    </xf>
    <xf numFmtId="0" fontId="66" fillId="7" borderId="60" xfId="1" applyFont="1" applyFill="1" applyBorder="1" applyAlignment="1">
      <alignment horizontal="center" vertical="center"/>
    </xf>
    <xf numFmtId="0" fontId="66" fillId="7" borderId="40" xfId="1" applyFont="1" applyFill="1" applyBorder="1" applyAlignment="1">
      <alignment horizontal="center" vertical="center"/>
    </xf>
    <xf numFmtId="0" fontId="66" fillId="4" borderId="34" xfId="1" applyFont="1" applyFill="1" applyBorder="1" applyAlignment="1">
      <alignment horizontal="center" vertical="center"/>
    </xf>
    <xf numFmtId="0" fontId="66" fillId="4" borderId="44" xfId="1" applyFont="1" applyFill="1" applyBorder="1" applyAlignment="1">
      <alignment horizontal="center" vertical="center"/>
    </xf>
    <xf numFmtId="0" fontId="66" fillId="7" borderId="59" xfId="1" applyFont="1" applyFill="1" applyBorder="1" applyAlignment="1">
      <alignment horizontal="center" vertical="center"/>
    </xf>
    <xf numFmtId="0" fontId="66" fillId="7" borderId="24" xfId="1" applyFont="1" applyFill="1" applyBorder="1" applyAlignment="1">
      <alignment horizontal="center" vertical="center"/>
    </xf>
    <xf numFmtId="0" fontId="66" fillId="4" borderId="18" xfId="1" applyFont="1" applyFill="1" applyBorder="1" applyAlignment="1">
      <alignment horizontal="center" vertical="center"/>
    </xf>
    <xf numFmtId="0" fontId="66" fillId="4" borderId="21" xfId="1" applyFont="1" applyFill="1" applyBorder="1" applyAlignment="1">
      <alignment horizontal="center" vertical="center"/>
    </xf>
    <xf numFmtId="49" fontId="59" fillId="4" borderId="65" xfId="1" applyNumberFormat="1" applyFont="1" applyFill="1" applyBorder="1" applyAlignment="1">
      <alignment horizontal="center" vertical="center" textRotation="90" wrapText="1"/>
    </xf>
    <xf numFmtId="49" fontId="59" fillId="4" borderId="66" xfId="1" applyNumberFormat="1" applyFont="1" applyFill="1" applyBorder="1" applyAlignment="1">
      <alignment horizontal="center" vertical="center" textRotation="90" wrapText="1"/>
    </xf>
    <xf numFmtId="49" fontId="59" fillId="4" borderId="67" xfId="1" applyNumberFormat="1" applyFont="1" applyFill="1" applyBorder="1" applyAlignment="1">
      <alignment horizontal="center" vertical="center" textRotation="90" wrapText="1"/>
    </xf>
    <xf numFmtId="0" fontId="67" fillId="20" borderId="35" xfId="0" applyFont="1" applyFill="1" applyBorder="1" applyAlignment="1">
      <alignment horizontal="left" vertical="center" wrapText="1"/>
    </xf>
    <xf numFmtId="0" fontId="67" fillId="20" borderId="38" xfId="0" applyFont="1" applyFill="1" applyBorder="1" applyAlignment="1">
      <alignment horizontal="left" vertical="center" wrapText="1"/>
    </xf>
    <xf numFmtId="0" fontId="67" fillId="0" borderId="17" xfId="0" applyFont="1" applyBorder="1" applyAlignment="1">
      <alignment horizontal="left" vertical="center" wrapText="1"/>
    </xf>
    <xf numFmtId="0" fontId="66" fillId="10" borderId="17" xfId="1" applyFont="1" applyFill="1" applyBorder="1" applyAlignment="1">
      <alignment horizontal="left" vertical="center" wrapText="1"/>
    </xf>
    <xf numFmtId="0" fontId="10" fillId="0" borderId="21" xfId="0" applyFont="1" applyBorder="1" applyAlignment="1">
      <alignment horizontal="center" vertical="center"/>
    </xf>
    <xf numFmtId="0" fontId="91" fillId="12" borderId="18" xfId="0" applyFont="1" applyFill="1" applyBorder="1" applyAlignment="1">
      <alignment horizontal="center" vertical="center"/>
    </xf>
    <xf numFmtId="0" fontId="91" fillId="12" borderId="21" xfId="0" applyFont="1" applyFill="1" applyBorder="1" applyAlignment="1">
      <alignment horizontal="center" vertical="center"/>
    </xf>
    <xf numFmtId="0" fontId="91" fillId="12" borderId="41" xfId="0" applyFont="1" applyFill="1" applyBorder="1" applyAlignment="1">
      <alignment horizontal="center" vertical="center"/>
    </xf>
    <xf numFmtId="0" fontId="77" fillId="0" borderId="0" xfId="1" applyFont="1" applyAlignment="1">
      <alignment horizontal="center" vertical="center" wrapText="1"/>
    </xf>
    <xf numFmtId="0" fontId="77" fillId="0" borderId="11" xfId="1" applyFont="1" applyBorder="1" applyAlignment="1">
      <alignment horizontal="center" vertical="center" wrapText="1"/>
    </xf>
    <xf numFmtId="0" fontId="66" fillId="10" borderId="18" xfId="1" applyFont="1" applyFill="1" applyBorder="1" applyAlignment="1">
      <alignment horizontal="left" vertical="center" wrapText="1"/>
    </xf>
    <xf numFmtId="0" fontId="67" fillId="10" borderId="24" xfId="0" applyFont="1" applyFill="1" applyBorder="1" applyAlignment="1">
      <alignment horizontal="left" vertical="center" wrapText="1"/>
    </xf>
    <xf numFmtId="49" fontId="59" fillId="4" borderId="69" xfId="1" applyNumberFormat="1" applyFont="1" applyFill="1" applyBorder="1" applyAlignment="1">
      <alignment horizontal="center" vertical="center" textRotation="90" wrapText="1"/>
    </xf>
    <xf numFmtId="49" fontId="59" fillId="4" borderId="70" xfId="1" applyNumberFormat="1" applyFont="1" applyFill="1" applyBorder="1" applyAlignment="1">
      <alignment horizontal="center" vertical="center" textRotation="90" wrapText="1"/>
    </xf>
    <xf numFmtId="49" fontId="59" fillId="4" borderId="71" xfId="1" applyNumberFormat="1" applyFont="1" applyFill="1" applyBorder="1" applyAlignment="1">
      <alignment horizontal="center" vertical="center" textRotation="90" wrapText="1"/>
    </xf>
    <xf numFmtId="0" fontId="66" fillId="10" borderId="41" xfId="1" applyFont="1" applyFill="1" applyBorder="1" applyAlignment="1">
      <alignment horizontal="left" vertical="center" wrapText="1"/>
    </xf>
    <xf numFmtId="0" fontId="67" fillId="0" borderId="10" xfId="0" applyFont="1" applyBorder="1" applyAlignment="1">
      <alignment horizontal="left" vertical="center" wrapText="1"/>
    </xf>
    <xf numFmtId="0" fontId="66" fillId="10" borderId="17" xfId="1" applyFont="1" applyFill="1" applyBorder="1" applyAlignment="1">
      <alignment horizontal="left" vertical="center"/>
    </xf>
    <xf numFmtId="0" fontId="66" fillId="10" borderId="18" xfId="1" applyFont="1" applyFill="1" applyBorder="1" applyAlignment="1">
      <alignment horizontal="left" vertical="center"/>
    </xf>
    <xf numFmtId="0" fontId="66" fillId="10" borderId="24" xfId="1" applyFont="1" applyFill="1" applyBorder="1" applyAlignment="1">
      <alignment horizontal="left" vertical="center"/>
    </xf>
    <xf numFmtId="0" fontId="67" fillId="0" borderId="32" xfId="0" applyFont="1" applyBorder="1" applyAlignment="1">
      <alignment vertical="center" wrapText="1"/>
    </xf>
    <xf numFmtId="0" fontId="67" fillId="0" borderId="32" xfId="0" applyFont="1" applyBorder="1" applyAlignment="1">
      <alignment vertical="center"/>
    </xf>
    <xf numFmtId="0" fontId="58" fillId="11" borderId="12" xfId="1" applyFont="1" applyFill="1" applyBorder="1" applyAlignment="1">
      <alignment horizontal="center" vertical="center" wrapText="1"/>
    </xf>
    <xf numFmtId="0" fontId="58" fillId="11" borderId="8" xfId="1" applyFont="1" applyFill="1" applyBorder="1" applyAlignment="1">
      <alignment horizontal="center" vertical="center" wrapText="1"/>
    </xf>
    <xf numFmtId="0" fontId="58" fillId="11" borderId="64" xfId="1" applyFont="1" applyFill="1" applyBorder="1" applyAlignment="1">
      <alignment horizontal="center" vertical="center" wrapText="1"/>
    </xf>
    <xf numFmtId="0" fontId="57" fillId="10" borderId="76" xfId="1" applyFont="1" applyFill="1" applyBorder="1" applyAlignment="1">
      <alignment horizontal="center" vertical="center" wrapText="1"/>
    </xf>
    <xf numFmtId="0" fontId="57" fillId="10" borderId="49" xfId="1" applyFont="1" applyFill="1" applyBorder="1" applyAlignment="1">
      <alignment horizontal="center" vertical="center" wrapText="1"/>
    </xf>
    <xf numFmtId="0" fontId="57" fillId="10" borderId="77" xfId="1" applyFont="1" applyFill="1" applyBorder="1" applyAlignment="1">
      <alignment horizontal="center" vertical="center" wrapText="1"/>
    </xf>
    <xf numFmtId="0" fontId="66" fillId="10" borderId="50" xfId="1" applyFont="1" applyFill="1" applyBorder="1" applyAlignment="1">
      <alignment horizontal="left" vertical="center"/>
    </xf>
    <xf numFmtId="0" fontId="66" fillId="10" borderId="36" xfId="1" applyFont="1" applyFill="1" applyBorder="1" applyAlignment="1">
      <alignment horizontal="left" vertical="center"/>
    </xf>
    <xf numFmtId="0" fontId="67" fillId="10" borderId="17" xfId="0" applyFont="1" applyFill="1" applyBorder="1" applyAlignment="1">
      <alignment horizontal="left" vertical="center"/>
    </xf>
    <xf numFmtId="0" fontId="65" fillId="10" borderId="76" xfId="1" applyFont="1" applyFill="1" applyBorder="1" applyAlignment="1">
      <alignment horizontal="center" vertical="center" wrapText="1"/>
    </xf>
    <xf numFmtId="0" fontId="65" fillId="10" borderId="49" xfId="1" applyFont="1" applyFill="1" applyBorder="1" applyAlignment="1">
      <alignment horizontal="center" vertical="center" wrapText="1"/>
    </xf>
    <xf numFmtId="0" fontId="65" fillId="10" borderId="77" xfId="1" applyFont="1" applyFill="1" applyBorder="1" applyAlignment="1">
      <alignment horizontal="center" vertical="center" wrapText="1"/>
    </xf>
    <xf numFmtId="0" fontId="92" fillId="12" borderId="18" xfId="0" applyFont="1" applyFill="1" applyBorder="1" applyAlignment="1">
      <alignment horizontal="center" vertical="center"/>
    </xf>
    <xf numFmtId="0" fontId="92" fillId="12" borderId="21" xfId="0" applyFont="1" applyFill="1" applyBorder="1" applyAlignment="1">
      <alignment horizontal="center" vertical="center"/>
    </xf>
    <xf numFmtId="0" fontId="92" fillId="12" borderId="41" xfId="0" applyFont="1" applyFill="1" applyBorder="1" applyAlignment="1">
      <alignment horizontal="center" vertical="center"/>
    </xf>
    <xf numFmtId="0" fontId="92" fillId="12" borderId="10" xfId="0" applyFont="1" applyFill="1" applyBorder="1" applyAlignment="1">
      <alignment horizontal="center" vertical="center"/>
    </xf>
    <xf numFmtId="0" fontId="92" fillId="12" borderId="84" xfId="0" applyFont="1" applyFill="1" applyBorder="1" applyAlignment="1">
      <alignment horizontal="center" vertical="center"/>
    </xf>
    <xf numFmtId="0" fontId="75" fillId="11" borderId="80" xfId="1" applyFont="1" applyFill="1" applyBorder="1" applyAlignment="1">
      <alignment horizontal="center" vertical="center"/>
    </xf>
    <xf numFmtId="0" fontId="75" fillId="11" borderId="81" xfId="1" applyFont="1" applyFill="1" applyBorder="1" applyAlignment="1">
      <alignment horizontal="center" vertical="center"/>
    </xf>
    <xf numFmtId="0" fontId="75" fillId="11" borderId="82" xfId="1" applyFont="1" applyFill="1" applyBorder="1" applyAlignment="1">
      <alignment horizontal="center" vertical="center"/>
    </xf>
    <xf numFmtId="0" fontId="76" fillId="0" borderId="0" xfId="1" applyFont="1" applyAlignment="1" applyProtection="1">
      <alignment horizontal="center" vertical="top" wrapText="1"/>
      <protection locked="0"/>
    </xf>
    <xf numFmtId="0" fontId="76" fillId="0" borderId="11" xfId="1" applyFont="1" applyBorder="1" applyAlignment="1" applyProtection="1">
      <alignment horizontal="center" vertical="top" wrapText="1"/>
      <protection locked="0"/>
    </xf>
    <xf numFmtId="0" fontId="58" fillId="11" borderId="8" xfId="1" applyFont="1" applyFill="1" applyBorder="1" applyAlignment="1">
      <alignment horizontal="center" vertical="center"/>
    </xf>
    <xf numFmtId="0" fontId="58" fillId="11" borderId="64" xfId="1" applyFont="1" applyFill="1" applyBorder="1" applyAlignment="1">
      <alignment horizontal="center" vertical="center"/>
    </xf>
    <xf numFmtId="0" fontId="66" fillId="4" borderId="39" xfId="1" applyFont="1" applyFill="1" applyBorder="1" applyAlignment="1">
      <alignment horizontal="left" vertical="center" wrapText="1"/>
    </xf>
    <xf numFmtId="0" fontId="66" fillId="4" borderId="45" xfId="1" applyFont="1" applyFill="1" applyBorder="1" applyAlignment="1">
      <alignment horizontal="left" vertical="center" wrapText="1"/>
    </xf>
    <xf numFmtId="0" fontId="66" fillId="4" borderId="63" xfId="1" applyFont="1" applyFill="1" applyBorder="1" applyAlignment="1">
      <alignment horizontal="left" vertical="center" wrapText="1"/>
    </xf>
    <xf numFmtId="0" fontId="82" fillId="0" borderId="76" xfId="1" applyFont="1" applyBorder="1" applyAlignment="1" applyProtection="1">
      <alignment horizontal="left" vertical="center" wrapText="1"/>
      <protection locked="0"/>
    </xf>
    <xf numFmtId="0" fontId="82" fillId="0" borderId="49" xfId="1" applyFont="1" applyBorder="1" applyAlignment="1" applyProtection="1">
      <alignment horizontal="left" vertical="center" wrapText="1"/>
      <protection locked="0"/>
    </xf>
    <xf numFmtId="0" fontId="82" fillId="0" borderId="77" xfId="1" applyFont="1" applyBorder="1" applyAlignment="1" applyProtection="1">
      <alignment horizontal="left" vertical="center" wrapText="1"/>
      <protection locked="0"/>
    </xf>
    <xf numFmtId="0" fontId="66" fillId="10" borderId="36" xfId="1" applyFont="1" applyFill="1" applyBorder="1" applyAlignment="1">
      <alignment horizontal="left" vertical="center" wrapText="1"/>
    </xf>
    <xf numFmtId="0" fontId="66" fillId="10" borderId="50" xfId="1" applyFont="1" applyFill="1" applyBorder="1" applyAlignment="1">
      <alignment horizontal="left" vertical="center" wrapText="1"/>
    </xf>
    <xf numFmtId="0" fontId="58" fillId="3" borderId="43" xfId="0" applyFont="1" applyFill="1" applyBorder="1" applyAlignment="1">
      <alignment horizontal="center" vertical="center"/>
    </xf>
    <xf numFmtId="0" fontId="58" fillId="3" borderId="64" xfId="0" applyFont="1" applyFill="1" applyBorder="1" applyAlignment="1">
      <alignment horizontal="center" vertical="center"/>
    </xf>
    <xf numFmtId="0" fontId="44" fillId="3" borderId="12" xfId="0" applyFont="1" applyFill="1" applyBorder="1" applyAlignment="1">
      <alignment horizontal="center" vertical="center"/>
    </xf>
    <xf numFmtId="0" fontId="44" fillId="3" borderId="8" xfId="0" applyFont="1" applyFill="1" applyBorder="1" applyAlignment="1">
      <alignment horizontal="center" vertical="center"/>
    </xf>
    <xf numFmtId="0" fontId="44" fillId="3" borderId="9" xfId="0" applyFont="1" applyFill="1" applyBorder="1" applyAlignment="1">
      <alignment horizontal="center" vertical="center"/>
    </xf>
    <xf numFmtId="0" fontId="44" fillId="3" borderId="65" xfId="0" applyFont="1" applyFill="1" applyBorder="1" applyAlignment="1">
      <alignment horizontal="center" vertical="center"/>
    </xf>
    <xf numFmtId="0" fontId="44" fillId="3" borderId="66" xfId="0" applyFont="1" applyFill="1" applyBorder="1" applyAlignment="1">
      <alignment horizontal="center" vertical="center"/>
    </xf>
    <xf numFmtId="0" fontId="44" fillId="3" borderId="73" xfId="0" applyFont="1" applyFill="1" applyBorder="1" applyAlignment="1">
      <alignment horizontal="center" vertical="center"/>
    </xf>
    <xf numFmtId="0" fontId="44" fillId="3" borderId="74" xfId="0" applyFont="1" applyFill="1" applyBorder="1" applyAlignment="1">
      <alignment horizontal="center" vertical="center"/>
    </xf>
    <xf numFmtId="0" fontId="44" fillId="3" borderId="67" xfId="0" applyFont="1" applyFill="1" applyBorder="1" applyAlignment="1">
      <alignment horizontal="center" vertical="center"/>
    </xf>
    <xf numFmtId="0" fontId="17" fillId="0" borderId="0" xfId="2" applyFont="1" applyAlignment="1">
      <alignment horizontal="center" vertical="center" wrapText="1"/>
    </xf>
    <xf numFmtId="0" fontId="18" fillId="0" borderId="0" xfId="2" applyFont="1" applyAlignment="1">
      <alignment horizontal="center" vertical="center"/>
    </xf>
    <xf numFmtId="0" fontId="19" fillId="0" borderId="0" xfId="2" applyFont="1" applyAlignment="1">
      <alignment horizontal="center" vertical="center"/>
    </xf>
    <xf numFmtId="0" fontId="13" fillId="8" borderId="18" xfId="1" applyFont="1" applyFill="1" applyBorder="1" applyAlignment="1">
      <alignment horizontal="center" vertical="center"/>
    </xf>
    <xf numFmtId="0" fontId="13" fillId="8" borderId="24" xfId="1" applyFont="1" applyFill="1" applyBorder="1" applyAlignment="1">
      <alignment horizontal="center" vertical="center"/>
    </xf>
    <xf numFmtId="0" fontId="13" fillId="8" borderId="21" xfId="1" applyFont="1" applyFill="1" applyBorder="1" applyAlignment="1">
      <alignment horizontal="center" vertical="center"/>
    </xf>
    <xf numFmtId="0" fontId="13" fillId="8" borderId="25" xfId="1" applyFont="1" applyFill="1" applyBorder="1" applyAlignment="1">
      <alignment horizontal="center" vertical="center"/>
    </xf>
    <xf numFmtId="0" fontId="8" fillId="4" borderId="31" xfId="1" applyFont="1" applyFill="1" applyBorder="1" applyAlignment="1">
      <alignment horizontal="center" vertical="center"/>
    </xf>
    <xf numFmtId="0" fontId="8" fillId="4" borderId="32" xfId="1" applyFont="1" applyFill="1" applyBorder="1" applyAlignment="1">
      <alignment horizontal="center" vertical="center"/>
    </xf>
    <xf numFmtId="0" fontId="8" fillId="4" borderId="33" xfId="1" applyFont="1" applyFill="1" applyBorder="1" applyAlignment="1">
      <alignment horizontal="center" vertical="center"/>
    </xf>
    <xf numFmtId="0" fontId="8" fillId="4" borderId="22" xfId="1" applyFont="1" applyFill="1" applyBorder="1" applyAlignment="1">
      <alignment horizontal="center" vertical="center"/>
    </xf>
    <xf numFmtId="0" fontId="8" fillId="4" borderId="45" xfId="1" applyFont="1" applyFill="1" applyBorder="1" applyAlignment="1">
      <alignment horizontal="center" vertical="center"/>
    </xf>
    <xf numFmtId="0" fontId="8" fillId="4" borderId="49" xfId="1" applyFont="1" applyFill="1" applyBorder="1" applyAlignment="1">
      <alignment horizontal="center" vertical="center"/>
    </xf>
    <xf numFmtId="0" fontId="8" fillId="4" borderId="29" xfId="1" applyFont="1" applyFill="1" applyBorder="1" applyAlignment="1">
      <alignment horizontal="center" vertical="center"/>
    </xf>
    <xf numFmtId="0" fontId="8" fillId="4" borderId="23" xfId="1" applyFont="1" applyFill="1" applyBorder="1" applyAlignment="1">
      <alignment horizontal="center" vertical="center"/>
    </xf>
    <xf numFmtId="0" fontId="8" fillId="4" borderId="30" xfId="1" applyFont="1" applyFill="1" applyBorder="1" applyAlignment="1">
      <alignment horizontal="center" vertical="center"/>
    </xf>
    <xf numFmtId="0" fontId="8" fillId="7" borderId="18" xfId="1" applyFont="1" applyFill="1" applyBorder="1" applyAlignment="1">
      <alignment horizontal="center" vertical="center"/>
    </xf>
    <xf numFmtId="0" fontId="29" fillId="4" borderId="18" xfId="1" applyFont="1" applyFill="1" applyBorder="1" applyAlignment="1">
      <alignment horizontal="center" vertical="center"/>
    </xf>
    <xf numFmtId="0" fontId="29" fillId="4" borderId="21" xfId="1" applyFont="1" applyFill="1" applyBorder="1" applyAlignment="1">
      <alignment horizontal="center" vertical="center"/>
    </xf>
    <xf numFmtId="0" fontId="8" fillId="7" borderId="34" xfId="1" applyFont="1" applyFill="1" applyBorder="1" applyAlignment="1">
      <alignment horizontal="center" vertical="center"/>
    </xf>
    <xf numFmtId="0" fontId="8" fillId="4" borderId="40" xfId="1" applyFont="1" applyFill="1" applyBorder="1" applyAlignment="1">
      <alignment horizontal="center" vertical="center"/>
    </xf>
    <xf numFmtId="0" fontId="7" fillId="4" borderId="24" xfId="1" applyFont="1" applyFill="1" applyBorder="1" applyAlignment="1">
      <alignment horizontal="center" vertical="center"/>
    </xf>
    <xf numFmtId="0" fontId="8" fillId="4" borderId="24" xfId="1" applyFont="1" applyFill="1" applyBorder="1" applyAlignment="1">
      <alignment horizontal="center" vertical="center"/>
    </xf>
    <xf numFmtId="0" fontId="8" fillId="0" borderId="18" xfId="1" applyFont="1" applyBorder="1" applyAlignment="1">
      <alignment horizontal="left" vertical="top"/>
    </xf>
    <xf numFmtId="0" fontId="8" fillId="0" borderId="24" xfId="1" applyFont="1" applyBorder="1" applyAlignment="1">
      <alignment horizontal="left" vertical="top"/>
    </xf>
    <xf numFmtId="0" fontId="7" fillId="0" borderId="19" xfId="1" applyFont="1" applyBorder="1" applyAlignment="1" applyProtection="1">
      <alignment horizontal="left" vertical="top" wrapText="1"/>
      <protection locked="0"/>
    </xf>
    <xf numFmtId="0" fontId="8" fillId="0" borderId="17" xfId="1" applyFont="1" applyBorder="1" applyAlignment="1" applyProtection="1">
      <alignment horizontal="left" vertical="top" wrapText="1"/>
      <protection locked="0"/>
    </xf>
    <xf numFmtId="0" fontId="8" fillId="0" borderId="17" xfId="1" applyFont="1" applyBorder="1" applyAlignment="1">
      <alignment horizontal="left" vertical="top"/>
    </xf>
    <xf numFmtId="0" fontId="7" fillId="0" borderId="31" xfId="1" applyFont="1" applyBorder="1" applyAlignment="1" applyProtection="1">
      <alignment horizontal="center" vertical="top" wrapText="1"/>
      <protection locked="0"/>
    </xf>
    <xf numFmtId="0" fontId="7" fillId="0" borderId="32" xfId="1" applyFont="1" applyBorder="1" applyAlignment="1" applyProtection="1">
      <alignment horizontal="center" vertical="top" wrapText="1"/>
      <protection locked="0"/>
    </xf>
    <xf numFmtId="0" fontId="8" fillId="0" borderId="46" xfId="1" applyFont="1" applyBorder="1" applyAlignment="1">
      <alignment horizontal="left" vertical="top"/>
    </xf>
    <xf numFmtId="0" fontId="8" fillId="0" borderId="27" xfId="1" applyFont="1" applyBorder="1" applyAlignment="1">
      <alignment horizontal="left" vertical="top"/>
    </xf>
    <xf numFmtId="0" fontId="7" fillId="0" borderId="17" xfId="1" applyFont="1" applyBorder="1" applyAlignment="1" applyProtection="1">
      <alignment horizontal="left" vertical="top" wrapText="1"/>
      <protection locked="0"/>
    </xf>
    <xf numFmtId="0" fontId="8" fillId="0" borderId="18" xfId="0" applyFont="1" applyBorder="1" applyAlignment="1">
      <alignment horizontal="left"/>
    </xf>
    <xf numFmtId="0" fontId="8" fillId="0" borderId="24" xfId="0" applyFont="1" applyBorder="1" applyAlignment="1">
      <alignment horizontal="left"/>
    </xf>
    <xf numFmtId="0" fontId="7" fillId="0" borderId="19" xfId="1" applyFont="1" applyBorder="1" applyAlignment="1" applyProtection="1">
      <alignment horizontal="center" vertical="top" wrapText="1"/>
      <protection locked="0"/>
    </xf>
    <xf numFmtId="0" fontId="7" fillId="0" borderId="17" xfId="1" applyFont="1" applyBorder="1" applyAlignment="1" applyProtection="1">
      <alignment horizontal="center" vertical="top" wrapText="1"/>
      <protection locked="0"/>
    </xf>
    <xf numFmtId="0" fontId="13" fillId="3" borderId="13" xfId="1" applyFont="1" applyFill="1" applyBorder="1" applyAlignment="1">
      <alignment horizontal="center" vertical="center" wrapText="1"/>
    </xf>
    <xf numFmtId="0" fontId="14" fillId="3" borderId="14" xfId="1" applyFont="1" applyFill="1" applyBorder="1" applyAlignment="1">
      <alignment wrapText="1"/>
    </xf>
    <xf numFmtId="49" fontId="7" fillId="4" borderId="16" xfId="1" applyNumberFormat="1" applyFont="1" applyFill="1" applyBorder="1" applyAlignment="1">
      <alignment horizontal="center" vertical="center" textRotation="90" wrapText="1"/>
    </xf>
    <xf numFmtId="49" fontId="7" fillId="4" borderId="22" xfId="1" applyNumberFormat="1" applyFont="1" applyFill="1" applyBorder="1" applyAlignment="1">
      <alignment horizontal="center" vertical="center" textRotation="90" wrapText="1"/>
    </xf>
    <xf numFmtId="49" fontId="7" fillId="4" borderId="26" xfId="1" applyNumberFormat="1" applyFont="1" applyFill="1" applyBorder="1" applyAlignment="1">
      <alignment horizontal="center" vertical="center" textRotation="90" wrapText="1"/>
    </xf>
    <xf numFmtId="0" fontId="8" fillId="0" borderId="35" xfId="1" applyFont="1" applyBorder="1" applyAlignment="1">
      <alignment horizontal="left" vertical="top"/>
    </xf>
    <xf numFmtId="0" fontId="8" fillId="0" borderId="38" xfId="1" applyFont="1" applyBorder="1" applyAlignment="1">
      <alignment horizontal="left" vertical="top"/>
    </xf>
    <xf numFmtId="0" fontId="7" fillId="0" borderId="42" xfId="1" applyFont="1" applyBorder="1" applyAlignment="1" applyProtection="1">
      <alignment horizontal="left" vertical="top" wrapText="1"/>
      <protection locked="0"/>
    </xf>
    <xf numFmtId="0" fontId="8" fillId="0" borderId="36" xfId="1" applyFont="1" applyBorder="1" applyAlignment="1" applyProtection="1">
      <alignment horizontal="left" vertical="top" wrapText="1"/>
      <protection locked="0"/>
    </xf>
    <xf numFmtId="0" fontId="8" fillId="0" borderId="18" xfId="1" applyFont="1" applyBorder="1" applyAlignment="1">
      <alignment horizontal="left" vertical="top" wrapText="1"/>
    </xf>
    <xf numFmtId="0" fontId="28" fillId="0" borderId="19" xfId="1" applyFont="1" applyBorder="1" applyAlignment="1" applyProtection="1">
      <alignment horizontal="left" vertical="top" wrapText="1"/>
      <protection locked="0"/>
    </xf>
    <xf numFmtId="0" fontId="26" fillId="0" borderId="17" xfId="1" applyFont="1" applyBorder="1" applyAlignment="1" applyProtection="1">
      <alignment horizontal="left" vertical="top" wrapText="1"/>
      <protection locked="0"/>
    </xf>
    <xf numFmtId="0" fontId="28" fillId="0" borderId="31" xfId="1" applyFont="1" applyBorder="1" applyAlignment="1" applyProtection="1">
      <alignment horizontal="center" vertical="top" wrapText="1"/>
      <protection locked="0"/>
    </xf>
    <xf numFmtId="0" fontId="28" fillId="0" borderId="32" xfId="1" applyFont="1" applyBorder="1" applyAlignment="1" applyProtection="1">
      <alignment horizontal="center" vertical="top" wrapText="1"/>
      <protection locked="0"/>
    </xf>
    <xf numFmtId="0" fontId="7" fillId="0" borderId="36" xfId="1" applyFont="1" applyBorder="1" applyAlignment="1" applyProtection="1">
      <alignment horizontal="left" vertical="top" wrapText="1"/>
      <protection locked="0"/>
    </xf>
    <xf numFmtId="0" fontId="8" fillId="0" borderId="18" xfId="1" applyFont="1" applyBorder="1" applyAlignment="1">
      <alignment horizontal="left" vertical="center" wrapText="1"/>
    </xf>
    <xf numFmtId="0" fontId="8" fillId="0" borderId="24" xfId="1" applyFont="1" applyBorder="1" applyAlignment="1">
      <alignment horizontal="left" vertical="center" wrapText="1"/>
    </xf>
    <xf numFmtId="0" fontId="10" fillId="0" borderId="41" xfId="1" applyFont="1" applyBorder="1" applyAlignment="1">
      <alignment horizontal="left" vertical="top"/>
    </xf>
    <xf numFmtId="0" fontId="10" fillId="0" borderId="10" xfId="1" applyFont="1" applyBorder="1" applyAlignment="1">
      <alignment horizontal="left" vertical="top"/>
    </xf>
    <xf numFmtId="0" fontId="2" fillId="2" borderId="2"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5" fillId="2" borderId="2" xfId="1" applyFont="1" applyFill="1" applyBorder="1" applyAlignment="1">
      <alignment horizontal="center" vertical="center"/>
    </xf>
    <xf numFmtId="0" fontId="7" fillId="0" borderId="5" xfId="1" applyFont="1" applyBorder="1" applyAlignment="1">
      <alignment horizontal="left" vertical="center"/>
    </xf>
    <xf numFmtId="0" fontId="8" fillId="0" borderId="5" xfId="1" applyFont="1" applyBorder="1" applyAlignment="1">
      <alignment horizontal="left"/>
    </xf>
    <xf numFmtId="0" fontId="13" fillId="0" borderId="7" xfId="1" applyFont="1" applyBorder="1" applyAlignment="1">
      <alignment horizontal="center" vertical="center" wrapText="1"/>
    </xf>
    <xf numFmtId="0" fontId="1" fillId="0" borderId="7" xfId="1" applyBorder="1" applyAlignment="1" applyProtection="1">
      <alignment horizontal="center" vertical="top" wrapText="1"/>
      <protection locked="0"/>
    </xf>
    <xf numFmtId="0" fontId="1" fillId="0" borderId="11" xfId="1" applyBorder="1" applyAlignment="1" applyProtection="1">
      <alignment horizontal="center" vertical="top" wrapText="1"/>
      <protection locked="0"/>
    </xf>
    <xf numFmtId="0" fontId="1" fillId="0" borderId="4" xfId="1" applyBorder="1" applyAlignment="1" applyProtection="1">
      <alignment horizontal="center" vertical="top" wrapText="1"/>
      <protection locked="0"/>
    </xf>
    <xf numFmtId="0" fontId="1" fillId="0" borderId="5" xfId="1" applyBorder="1" applyAlignment="1" applyProtection="1">
      <alignment horizontal="center" vertical="top" wrapText="1"/>
      <protection locked="0"/>
    </xf>
    <xf numFmtId="0" fontId="1" fillId="0" borderId="6" xfId="1" applyBorder="1" applyAlignment="1" applyProtection="1">
      <alignment horizontal="center" vertical="top" wrapText="1"/>
      <protection locked="0"/>
    </xf>
    <xf numFmtId="0" fontId="7" fillId="2" borderId="24" xfId="1" applyFont="1" applyFill="1" applyBorder="1" applyAlignment="1" applyProtection="1">
      <alignment horizontal="center" vertical="center" wrapText="1"/>
      <protection locked="0"/>
    </xf>
    <xf numFmtId="0" fontId="7" fillId="2" borderId="24" xfId="1" applyFont="1" applyFill="1" applyBorder="1" applyAlignment="1" applyProtection="1">
      <alignment horizontal="left" vertical="center" wrapText="1"/>
      <protection locked="0"/>
    </xf>
  </cellXfs>
  <cellStyles count="4">
    <cellStyle name="Normal" xfId="0" builtinId="0"/>
    <cellStyle name="Normal 2" xfId="3" xr:uid="{139BD76B-1886-42F4-B0F3-8662CFE62617}"/>
    <cellStyle name="Normal 7" xfId="1" xr:uid="{5CA7BC35-EB21-48EA-A0D9-E325FD7CDEDD}"/>
    <cellStyle name="常规_1-LDC HAZARD" xfId="2" xr:uid="{D9DBB3AD-4E83-4CE2-AC28-607D17B9AB5D}"/>
  </cellStyles>
  <dxfs count="139">
    <dxf>
      <fill>
        <patternFill>
          <bgColor theme="9" tint="0.39994506668294322"/>
        </patternFill>
      </fill>
    </dxf>
    <dxf>
      <fill>
        <patternFill>
          <bgColor rgb="FFFFCCCC"/>
        </patternFill>
      </fill>
    </dxf>
    <dxf>
      <fill>
        <patternFill>
          <bgColor rgb="FFFFFF99"/>
        </patternFill>
      </fill>
    </dxf>
    <dxf>
      <fill>
        <patternFill patternType="solid">
          <bgColor theme="0" tint="-0.14999847407452621"/>
        </patternFill>
      </fill>
    </dxf>
    <dxf>
      <fill>
        <patternFill>
          <bgColor theme="9" tint="0.39994506668294322"/>
        </patternFill>
      </fill>
    </dxf>
    <dxf>
      <fill>
        <patternFill>
          <bgColor rgb="FFFFCCCC"/>
        </patternFill>
      </fill>
    </dxf>
    <dxf>
      <fill>
        <patternFill>
          <bgColor rgb="FFFFFF99"/>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9" tint="0.39994506668294322"/>
        </patternFill>
      </fill>
    </dxf>
    <dxf>
      <fill>
        <patternFill>
          <bgColor rgb="FFFFCCCC"/>
        </patternFill>
      </fill>
    </dxf>
    <dxf>
      <fill>
        <patternFill>
          <bgColor rgb="FFFFFF99"/>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9" tint="0.39994506668294322"/>
        </patternFill>
      </fill>
    </dxf>
    <dxf>
      <fill>
        <patternFill>
          <bgColor rgb="FFFFCCCC"/>
        </patternFill>
      </fill>
    </dxf>
    <dxf>
      <fill>
        <patternFill>
          <bgColor rgb="FFFFFF99"/>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9" tint="0.39994506668294322"/>
        </patternFill>
      </fill>
    </dxf>
    <dxf>
      <fill>
        <patternFill>
          <bgColor rgb="FFFFCCCC"/>
        </patternFill>
      </fill>
    </dxf>
    <dxf>
      <fill>
        <patternFill>
          <bgColor rgb="FFFFFF99"/>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9" tint="0.39994506668294322"/>
        </patternFill>
      </fill>
    </dxf>
    <dxf>
      <fill>
        <patternFill>
          <bgColor rgb="FFFFCCCC"/>
        </patternFill>
      </fill>
    </dxf>
    <dxf>
      <fill>
        <patternFill>
          <bgColor rgb="FFFFFF99"/>
        </patternFill>
      </fill>
    </dxf>
    <dxf>
      <font>
        <b val="0"/>
        <i val="0"/>
        <strike val="0"/>
        <color theme="0" tint="-0.499984740745262"/>
      </font>
      <fill>
        <patternFill patternType="lightUp">
          <fgColor theme="0" tint="-0.14996795556505021"/>
          <bgColor theme="0" tint="-4.9989318521683403E-2"/>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FFCCCC"/>
        </patternFill>
      </fill>
    </dxf>
    <dxf>
      <fill>
        <patternFill>
          <bgColor rgb="FFFFFF99"/>
        </patternFill>
      </fill>
    </dxf>
    <dxf>
      <fill>
        <patternFill>
          <bgColor theme="9" tint="0.39994506668294322"/>
        </patternFill>
      </fill>
    </dxf>
    <dxf>
      <fill>
        <patternFill>
          <bgColor rgb="FFFFCCCC"/>
        </patternFill>
      </fill>
    </dxf>
    <dxf>
      <fill>
        <patternFill>
          <bgColor rgb="FFFFFF99"/>
        </patternFill>
      </fill>
    </dxf>
    <dxf>
      <fill>
        <patternFill>
          <bgColor rgb="FFFFFF99"/>
        </patternFill>
      </fill>
    </dxf>
    <dxf>
      <fill>
        <patternFill>
          <bgColor rgb="FFFFCCCC"/>
        </patternFill>
      </fill>
    </dxf>
    <dxf>
      <fill>
        <patternFill>
          <bgColor theme="9" tint="0.39994506668294322"/>
        </patternFill>
      </fill>
    </dxf>
    <dxf>
      <fill>
        <patternFill>
          <bgColor theme="9" tint="0.39994506668294322"/>
        </patternFill>
      </fill>
    </dxf>
    <dxf>
      <fill>
        <patternFill>
          <bgColor rgb="FFFFFF99"/>
        </patternFill>
      </fill>
    </dxf>
    <dxf>
      <fill>
        <patternFill>
          <bgColor rgb="FFFFCCCC"/>
        </patternFill>
      </fill>
    </dxf>
    <dxf>
      <font>
        <b val="0"/>
        <i val="0"/>
        <strike val="0"/>
        <color theme="0" tint="-0.499984740745262"/>
      </font>
      <fill>
        <patternFill patternType="lightUp">
          <fgColor theme="0" tint="-0.14996795556505021"/>
          <bgColor theme="0" tint="-4.9989318521683403E-2"/>
        </patternFill>
      </fill>
    </dxf>
    <dxf>
      <font>
        <b val="0"/>
        <i val="0"/>
        <strike val="0"/>
        <color theme="0" tint="-0.499984740745262"/>
      </font>
      <fill>
        <patternFill patternType="lightUp">
          <fgColor theme="0" tint="-0.14996795556505021"/>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FF99"/>
        </patternFill>
      </fill>
    </dxf>
    <dxf>
      <fill>
        <patternFill>
          <bgColor theme="9" tint="0.39994506668294322"/>
        </patternFill>
      </fill>
    </dxf>
    <dxf>
      <fill>
        <patternFill>
          <bgColor rgb="FFFFCCCC"/>
        </patternFill>
      </fill>
    </dxf>
    <dxf>
      <font>
        <b val="0"/>
        <i val="0"/>
        <strike val="0"/>
        <color theme="0" tint="-0.499984740745262"/>
      </font>
      <fill>
        <patternFill patternType="lightUp">
          <fgColor theme="0" tint="-0.14996795556505021"/>
          <bgColor theme="0" tint="-4.9989318521683403E-2"/>
        </patternFill>
      </fill>
    </dxf>
  </dxfs>
  <tableStyles count="0" defaultTableStyle="TableStyleMedium2" defaultPivotStyle="PivotStyleLight16"/>
  <colors>
    <mruColors>
      <color rgb="FFFFFF99"/>
      <color rgb="FFFF3300"/>
      <color rgb="FFFFC2C1"/>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134611</xdr:colOff>
      <xdr:row>2</xdr:row>
      <xdr:rowOff>54553</xdr:rowOff>
    </xdr:from>
    <xdr:to>
      <xdr:col>3</xdr:col>
      <xdr:colOff>571500</xdr:colOff>
      <xdr:row>3</xdr:row>
      <xdr:rowOff>284031</xdr:rowOff>
    </xdr:to>
    <xdr:pic>
      <xdr:nvPicPr>
        <xdr:cNvPr id="2" name="Imagen 1">
          <a:extLst>
            <a:ext uri="{FF2B5EF4-FFF2-40B4-BE49-F238E27FC236}">
              <a16:creationId xmlns:a16="http://schemas.microsoft.com/office/drawing/2014/main" id="{9637308D-DA55-49B4-AF5B-D719C1E201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968" y="435553"/>
          <a:ext cx="1988103" cy="4199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514350</xdr:colOff>
          <xdr:row>2</xdr:row>
          <xdr:rowOff>38100</xdr:rowOff>
        </xdr:from>
        <xdr:to>
          <xdr:col>17</xdr:col>
          <xdr:colOff>552450</xdr:colOff>
          <xdr:row>123</xdr:row>
          <xdr:rowOff>9525</xdr:rowOff>
        </xdr:to>
        <xdr:pic>
          <xdr:nvPicPr>
            <xdr:cNvPr id="2" name="Picture 1">
              <a:extLst>
                <a:ext uri="{FF2B5EF4-FFF2-40B4-BE49-F238E27FC236}">
                  <a16:creationId xmlns:a16="http://schemas.microsoft.com/office/drawing/2014/main" id="{CBD6DD59-AEAF-475C-ADFF-CB3E4CA206B8}"/>
                </a:ext>
              </a:extLst>
            </xdr:cNvPr>
            <xdr:cNvPicPr>
              <a:picLocks noChangeAspect="1" noChangeArrowheads="1"/>
              <a:extLst>
                <a:ext uri="{84589F7E-364E-4C9E-8A38-B11213B215E9}">
                  <a14:cameraTool cellRange="'0.APQP GRC'!$B$3:$O$76" spid="_x0000_s30273"/>
                </a:ext>
              </a:extLst>
            </xdr:cNvPicPr>
          </xdr:nvPicPr>
          <xdr:blipFill>
            <a:blip xmlns:r="http://schemas.openxmlformats.org/officeDocument/2006/relationships" r:embed="rId1"/>
            <a:srcRect/>
            <a:stretch>
              <a:fillRect/>
            </a:stretch>
          </xdr:blipFill>
          <xdr:spPr bwMode="auto">
            <a:xfrm>
              <a:off x="514350" y="400050"/>
              <a:ext cx="10401300" cy="21869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514350</xdr:colOff>
          <xdr:row>2</xdr:row>
          <xdr:rowOff>38100</xdr:rowOff>
        </xdr:from>
        <xdr:to>
          <xdr:col>17</xdr:col>
          <xdr:colOff>552450</xdr:colOff>
          <xdr:row>123</xdr:row>
          <xdr:rowOff>12700</xdr:rowOff>
        </xdr:to>
        <xdr:pic>
          <xdr:nvPicPr>
            <xdr:cNvPr id="29703" name="Picture 1">
              <a:extLst>
                <a:ext uri="{FF2B5EF4-FFF2-40B4-BE49-F238E27FC236}">
                  <a16:creationId xmlns:a16="http://schemas.microsoft.com/office/drawing/2014/main" id="{A945AFC7-28F8-9821-0E6E-03F464B49BD7}"/>
                </a:ext>
              </a:extLst>
            </xdr:cNvPr>
            <xdr:cNvPicPr>
              <a:picLocks noChangeAspect="1" noChangeArrowheads="1"/>
              <a:extLst>
                <a:ext uri="{84589F7E-364E-4C9E-8A38-B11213B215E9}">
                  <a14:cameraTool cellRange="'0.APQP GRC'!$B$3:$O$76" spid="_x0000_s30274"/>
                </a:ext>
              </a:extLst>
            </xdr:cNvPicPr>
          </xdr:nvPicPr>
          <xdr:blipFill>
            <a:blip xmlns:r="http://schemas.openxmlformats.org/officeDocument/2006/relationships" r:embed="rId1"/>
            <a:srcRect/>
            <a:stretch>
              <a:fillRect/>
            </a:stretch>
          </xdr:blipFill>
          <xdr:spPr bwMode="auto">
            <a:xfrm>
              <a:off x="514350" y="406400"/>
              <a:ext cx="10509250" cy="22256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514350</xdr:colOff>
          <xdr:row>2</xdr:row>
          <xdr:rowOff>38100</xdr:rowOff>
        </xdr:from>
        <xdr:to>
          <xdr:col>17</xdr:col>
          <xdr:colOff>552450</xdr:colOff>
          <xdr:row>123</xdr:row>
          <xdr:rowOff>12700</xdr:rowOff>
        </xdr:to>
        <xdr:pic>
          <xdr:nvPicPr>
            <xdr:cNvPr id="29837" name="Picture 1">
              <a:extLst>
                <a:ext uri="{FF2B5EF4-FFF2-40B4-BE49-F238E27FC236}">
                  <a16:creationId xmlns:a16="http://schemas.microsoft.com/office/drawing/2014/main" id="{48880FDE-31D5-A5D1-80AE-572E43462189}"/>
                </a:ext>
              </a:extLst>
            </xdr:cNvPr>
            <xdr:cNvPicPr>
              <a:picLocks noChangeAspect="1" noChangeArrowheads="1"/>
              <a:extLst>
                <a:ext uri="{84589F7E-364E-4C9E-8A38-B11213B215E9}">
                  <a14:cameraTool cellRange="'0.APQP GRC'!$B$3:$O$76" spid="_x0000_s30275"/>
                </a:ext>
              </a:extLst>
            </xdr:cNvPicPr>
          </xdr:nvPicPr>
          <xdr:blipFill>
            <a:blip xmlns:r="http://schemas.openxmlformats.org/officeDocument/2006/relationships" r:embed="rId1"/>
            <a:srcRect/>
            <a:stretch>
              <a:fillRect/>
            </a:stretch>
          </xdr:blipFill>
          <xdr:spPr bwMode="auto">
            <a:xfrm>
              <a:off x="514350" y="406400"/>
              <a:ext cx="10509250" cy="22256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514350</xdr:colOff>
          <xdr:row>2</xdr:row>
          <xdr:rowOff>38100</xdr:rowOff>
        </xdr:from>
        <xdr:to>
          <xdr:col>17</xdr:col>
          <xdr:colOff>552450</xdr:colOff>
          <xdr:row>123</xdr:row>
          <xdr:rowOff>12700</xdr:rowOff>
        </xdr:to>
        <xdr:pic>
          <xdr:nvPicPr>
            <xdr:cNvPr id="29838" name="Picture 1166">
              <a:extLst>
                <a:ext uri="{FF2B5EF4-FFF2-40B4-BE49-F238E27FC236}">
                  <a16:creationId xmlns:a16="http://schemas.microsoft.com/office/drawing/2014/main" id="{59B94295-3205-A0C3-5A9D-AC6C0420C5A7}"/>
                </a:ext>
              </a:extLst>
            </xdr:cNvPr>
            <xdr:cNvPicPr>
              <a:picLocks noChangeAspect="1" noChangeArrowheads="1"/>
              <a:extLst>
                <a:ext uri="{84589F7E-364E-4C9E-8A38-B11213B215E9}">
                  <a14:cameraTool cellRange="'0.APQP GRC'!$B$3:$O$76" spid="_x0000_s30276"/>
                </a:ext>
              </a:extLst>
            </xdr:cNvPicPr>
          </xdr:nvPicPr>
          <xdr:blipFill>
            <a:blip xmlns:r="http://schemas.openxmlformats.org/officeDocument/2006/relationships" r:embed="rId1"/>
            <a:srcRect/>
            <a:stretch>
              <a:fillRect/>
            </a:stretch>
          </xdr:blipFill>
          <xdr:spPr bwMode="auto">
            <a:xfrm>
              <a:off x="514350" y="406400"/>
              <a:ext cx="10509250" cy="222567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245745</xdr:colOff>
          <xdr:row>1</xdr:row>
          <xdr:rowOff>47625</xdr:rowOff>
        </xdr:from>
        <xdr:to>
          <xdr:col>17</xdr:col>
          <xdr:colOff>283845</xdr:colOff>
          <xdr:row>122</xdr:row>
          <xdr:rowOff>20955</xdr:rowOff>
        </xdr:to>
        <xdr:pic>
          <xdr:nvPicPr>
            <xdr:cNvPr id="2" name="Picture 1">
              <a:extLst>
                <a:ext uri="{FF2B5EF4-FFF2-40B4-BE49-F238E27FC236}">
                  <a16:creationId xmlns:a16="http://schemas.microsoft.com/office/drawing/2014/main" id="{80DC34F6-24D9-7C11-6A9A-EA7793886686}"/>
                </a:ext>
              </a:extLst>
            </xdr:cNvPr>
            <xdr:cNvPicPr>
              <a:picLocks noChangeAspect="1" noChangeArrowheads="1"/>
              <a:extLst>
                <a:ext uri="{84589F7E-364E-4C9E-8A38-B11213B215E9}">
                  <a14:cameraTool cellRange="'0.APQP GRC'!$B$3:$O$76" spid="_x0000_s40017"/>
                </a:ext>
              </a:extLst>
            </xdr:cNvPicPr>
          </xdr:nvPicPr>
          <xdr:blipFill>
            <a:blip xmlns:r="http://schemas.openxmlformats.org/officeDocument/2006/relationships" r:embed="rId1"/>
            <a:srcRect/>
            <a:stretch>
              <a:fillRect/>
            </a:stretch>
          </xdr:blipFill>
          <xdr:spPr bwMode="auto">
            <a:xfrm>
              <a:off x="245745" y="228600"/>
              <a:ext cx="10401300" cy="21871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264967</xdr:colOff>
      <xdr:row>5</xdr:row>
      <xdr:rowOff>142182</xdr:rowOff>
    </xdr:from>
    <xdr:to>
      <xdr:col>5</xdr:col>
      <xdr:colOff>439947</xdr:colOff>
      <xdr:row>9</xdr:row>
      <xdr:rowOff>0</xdr:rowOff>
    </xdr:to>
    <xdr:pic>
      <xdr:nvPicPr>
        <xdr:cNvPr id="2" name="Imagen 1">
          <a:extLst>
            <a:ext uri="{FF2B5EF4-FFF2-40B4-BE49-F238E27FC236}">
              <a16:creationId xmlns:a16="http://schemas.microsoft.com/office/drawing/2014/main" id="{AC59C2B0-0F46-41E8-AF3C-8A3619979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8817" y="1304232"/>
          <a:ext cx="3097250" cy="6198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264968</xdr:colOff>
      <xdr:row>5</xdr:row>
      <xdr:rowOff>142183</xdr:rowOff>
    </xdr:from>
    <xdr:to>
      <xdr:col>6</xdr:col>
      <xdr:colOff>27941</xdr:colOff>
      <xdr:row>9</xdr:row>
      <xdr:rowOff>94299</xdr:rowOff>
    </xdr:to>
    <xdr:pic>
      <xdr:nvPicPr>
        <xdr:cNvPr id="2" name="Imagen 1">
          <a:extLst>
            <a:ext uri="{FF2B5EF4-FFF2-40B4-BE49-F238E27FC236}">
              <a16:creationId xmlns:a16="http://schemas.microsoft.com/office/drawing/2014/main" id="{8A4659BE-C644-4A9D-932A-4CF3DB57A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2468" y="1650308"/>
          <a:ext cx="3592658" cy="7103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264967</xdr:colOff>
      <xdr:row>5</xdr:row>
      <xdr:rowOff>144087</xdr:rowOff>
    </xdr:from>
    <xdr:to>
      <xdr:col>6</xdr:col>
      <xdr:colOff>334</xdr:colOff>
      <xdr:row>7</xdr:row>
      <xdr:rowOff>382904</xdr:rowOff>
    </xdr:to>
    <xdr:pic>
      <xdr:nvPicPr>
        <xdr:cNvPr id="2" name="Imagen 1">
          <a:extLst>
            <a:ext uri="{FF2B5EF4-FFF2-40B4-BE49-F238E27FC236}">
              <a16:creationId xmlns:a16="http://schemas.microsoft.com/office/drawing/2014/main" id="{0337B686-CEF2-4288-A238-E8A0AFECC7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8342" y="1691900"/>
          <a:ext cx="3554892" cy="7131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264967</xdr:colOff>
      <xdr:row>5</xdr:row>
      <xdr:rowOff>142182</xdr:rowOff>
    </xdr:from>
    <xdr:to>
      <xdr:col>5</xdr:col>
      <xdr:colOff>439947</xdr:colOff>
      <xdr:row>9</xdr:row>
      <xdr:rowOff>0</xdr:rowOff>
    </xdr:to>
    <xdr:pic>
      <xdr:nvPicPr>
        <xdr:cNvPr id="2" name="Imagen 1">
          <a:extLst>
            <a:ext uri="{FF2B5EF4-FFF2-40B4-BE49-F238E27FC236}">
              <a16:creationId xmlns:a16="http://schemas.microsoft.com/office/drawing/2014/main" id="{ADB2EDFF-27E6-4252-81CA-6F0C31C898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767" y="1302327"/>
          <a:ext cx="2946755" cy="62172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264967</xdr:colOff>
      <xdr:row>5</xdr:row>
      <xdr:rowOff>142182</xdr:rowOff>
    </xdr:from>
    <xdr:to>
      <xdr:col>5</xdr:col>
      <xdr:colOff>439947</xdr:colOff>
      <xdr:row>9</xdr:row>
      <xdr:rowOff>0</xdr:rowOff>
    </xdr:to>
    <xdr:pic>
      <xdr:nvPicPr>
        <xdr:cNvPr id="2" name="Imagen 1">
          <a:extLst>
            <a:ext uri="{FF2B5EF4-FFF2-40B4-BE49-F238E27FC236}">
              <a16:creationId xmlns:a16="http://schemas.microsoft.com/office/drawing/2014/main" id="{31EBB47D-0091-4449-BE96-A34E7518F2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767" y="1302327"/>
          <a:ext cx="2946755" cy="6217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285750</xdr:colOff>
      <xdr:row>0</xdr:row>
      <xdr:rowOff>107156</xdr:rowOff>
    </xdr:from>
    <xdr:to>
      <xdr:col>0</xdr:col>
      <xdr:colOff>1354125</xdr:colOff>
      <xdr:row>0</xdr:row>
      <xdr:rowOff>970019</xdr:rowOff>
    </xdr:to>
    <xdr:pic>
      <xdr:nvPicPr>
        <xdr:cNvPr id="2" name="图片 1" descr="Logo-Premo">
          <a:extLst>
            <a:ext uri="{FF2B5EF4-FFF2-40B4-BE49-F238E27FC236}">
              <a16:creationId xmlns:a16="http://schemas.microsoft.com/office/drawing/2014/main" id="{B6044297-E456-492D-9EAF-BD453585B9DC}"/>
            </a:ext>
          </a:extLst>
        </xdr:cNvPr>
        <xdr:cNvPicPr/>
      </xdr:nvPicPr>
      <xdr:blipFill>
        <a:blip xmlns:r="http://schemas.openxmlformats.org/officeDocument/2006/relationships" r:embed="rId1" cstate="print"/>
        <a:srcRect t="6285" b="8502"/>
        <a:stretch>
          <a:fillRect/>
        </a:stretch>
      </xdr:blipFill>
      <xdr:spPr bwMode="auto">
        <a:xfrm>
          <a:off x="285750" y="107156"/>
          <a:ext cx="1058850" cy="872388"/>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131618</xdr:colOff>
      <xdr:row>2</xdr:row>
      <xdr:rowOff>83127</xdr:rowOff>
    </xdr:from>
    <xdr:to>
      <xdr:col>3</xdr:col>
      <xdr:colOff>396566</xdr:colOff>
      <xdr:row>3</xdr:row>
      <xdr:rowOff>249966</xdr:rowOff>
    </xdr:to>
    <xdr:pic>
      <xdr:nvPicPr>
        <xdr:cNvPr id="2" name="Imagen 1">
          <a:extLst>
            <a:ext uri="{FF2B5EF4-FFF2-40B4-BE49-F238E27FC236}">
              <a16:creationId xmlns:a16="http://schemas.microsoft.com/office/drawing/2014/main" id="{E2F982B2-174F-47A1-A904-3CFC97B43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768" y="464127"/>
          <a:ext cx="1700048" cy="3573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914400</xdr:colOff>
      <xdr:row>6</xdr:row>
      <xdr:rowOff>9525</xdr:rowOff>
    </xdr:from>
    <xdr:to>
      <xdr:col>4</xdr:col>
      <xdr:colOff>1104900</xdr:colOff>
      <xdr:row>7</xdr:row>
      <xdr:rowOff>9525</xdr:rowOff>
    </xdr:to>
    <xdr:sp macro="" textlink="">
      <xdr:nvSpPr>
        <xdr:cNvPr id="2" name="Flecha: hacia abajo 1">
          <a:extLst>
            <a:ext uri="{FF2B5EF4-FFF2-40B4-BE49-F238E27FC236}">
              <a16:creationId xmlns:a16="http://schemas.microsoft.com/office/drawing/2014/main" id="{B44D2E81-54E4-F47B-B202-2E9B082D6400}"/>
            </a:ext>
          </a:extLst>
        </xdr:cNvPr>
        <xdr:cNvSpPr/>
      </xdr:nvSpPr>
      <xdr:spPr>
        <a:xfrm>
          <a:off x="4314825" y="1152525"/>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923925</xdr:colOff>
      <xdr:row>7</xdr:row>
      <xdr:rowOff>171450</xdr:rowOff>
    </xdr:from>
    <xdr:to>
      <xdr:col>4</xdr:col>
      <xdr:colOff>1114425</xdr:colOff>
      <xdr:row>8</xdr:row>
      <xdr:rowOff>171450</xdr:rowOff>
    </xdr:to>
    <xdr:sp macro="" textlink="">
      <xdr:nvSpPr>
        <xdr:cNvPr id="3" name="Flecha: hacia abajo 2">
          <a:extLst>
            <a:ext uri="{FF2B5EF4-FFF2-40B4-BE49-F238E27FC236}">
              <a16:creationId xmlns:a16="http://schemas.microsoft.com/office/drawing/2014/main" id="{67CE3F34-21B5-4FE3-98A9-F714A7A6A960}"/>
            </a:ext>
          </a:extLst>
        </xdr:cNvPr>
        <xdr:cNvSpPr/>
      </xdr:nvSpPr>
      <xdr:spPr>
        <a:xfrm>
          <a:off x="4324350" y="1504950"/>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914400</xdr:colOff>
      <xdr:row>10</xdr:row>
      <xdr:rowOff>9525</xdr:rowOff>
    </xdr:from>
    <xdr:to>
      <xdr:col>4</xdr:col>
      <xdr:colOff>1104900</xdr:colOff>
      <xdr:row>11</xdr:row>
      <xdr:rowOff>9525</xdr:rowOff>
    </xdr:to>
    <xdr:sp macro="" textlink="">
      <xdr:nvSpPr>
        <xdr:cNvPr id="4" name="Flecha: hacia abajo 3">
          <a:extLst>
            <a:ext uri="{FF2B5EF4-FFF2-40B4-BE49-F238E27FC236}">
              <a16:creationId xmlns:a16="http://schemas.microsoft.com/office/drawing/2014/main" id="{4D36ADA5-68FD-44D7-AD07-811EB1E75DF5}"/>
            </a:ext>
          </a:extLst>
        </xdr:cNvPr>
        <xdr:cNvSpPr/>
      </xdr:nvSpPr>
      <xdr:spPr>
        <a:xfrm>
          <a:off x="4314825" y="1914525"/>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914400</xdr:colOff>
      <xdr:row>12</xdr:row>
      <xdr:rowOff>9525</xdr:rowOff>
    </xdr:from>
    <xdr:to>
      <xdr:col>4</xdr:col>
      <xdr:colOff>1104900</xdr:colOff>
      <xdr:row>13</xdr:row>
      <xdr:rowOff>9525</xdr:rowOff>
    </xdr:to>
    <xdr:sp macro="" textlink="">
      <xdr:nvSpPr>
        <xdr:cNvPr id="5" name="Flecha: hacia abajo 4">
          <a:extLst>
            <a:ext uri="{FF2B5EF4-FFF2-40B4-BE49-F238E27FC236}">
              <a16:creationId xmlns:a16="http://schemas.microsoft.com/office/drawing/2014/main" id="{85010006-3D04-45D6-9F88-1142E4D161BF}"/>
            </a:ext>
          </a:extLst>
        </xdr:cNvPr>
        <xdr:cNvSpPr/>
      </xdr:nvSpPr>
      <xdr:spPr>
        <a:xfrm>
          <a:off x="4314825" y="2295525"/>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1857375</xdr:colOff>
      <xdr:row>5</xdr:row>
      <xdr:rowOff>180975</xdr:rowOff>
    </xdr:from>
    <xdr:to>
      <xdr:col>5</xdr:col>
      <xdr:colOff>19050</xdr:colOff>
      <xdr:row>6</xdr:row>
      <xdr:rowOff>180975</xdr:rowOff>
    </xdr:to>
    <xdr:sp macro="" textlink="">
      <xdr:nvSpPr>
        <xdr:cNvPr id="6" name="Flecha: hacia abajo 5">
          <a:extLst>
            <a:ext uri="{FF2B5EF4-FFF2-40B4-BE49-F238E27FC236}">
              <a16:creationId xmlns:a16="http://schemas.microsoft.com/office/drawing/2014/main" id="{FE3DFD07-3AAE-4782-874C-193850C763AE}"/>
            </a:ext>
          </a:extLst>
        </xdr:cNvPr>
        <xdr:cNvSpPr/>
      </xdr:nvSpPr>
      <xdr:spPr>
        <a:xfrm rot="16200000">
          <a:off x="5257800" y="1133475"/>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1838325</xdr:colOff>
      <xdr:row>8</xdr:row>
      <xdr:rowOff>0</xdr:rowOff>
    </xdr:from>
    <xdr:to>
      <xdr:col>5</xdr:col>
      <xdr:colOff>0</xdr:colOff>
      <xdr:row>9</xdr:row>
      <xdr:rowOff>0</xdr:rowOff>
    </xdr:to>
    <xdr:sp macro="" textlink="">
      <xdr:nvSpPr>
        <xdr:cNvPr id="10" name="Flecha: hacia abajo 9">
          <a:extLst>
            <a:ext uri="{FF2B5EF4-FFF2-40B4-BE49-F238E27FC236}">
              <a16:creationId xmlns:a16="http://schemas.microsoft.com/office/drawing/2014/main" id="{1E8EAE11-7A76-4AE4-853B-9F3F9905203A}"/>
            </a:ext>
          </a:extLst>
        </xdr:cNvPr>
        <xdr:cNvSpPr/>
      </xdr:nvSpPr>
      <xdr:spPr>
        <a:xfrm rot="16200000">
          <a:off x="5238750" y="1524000"/>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1838325</xdr:colOff>
      <xdr:row>10</xdr:row>
      <xdr:rowOff>0</xdr:rowOff>
    </xdr:from>
    <xdr:to>
      <xdr:col>5</xdr:col>
      <xdr:colOff>0</xdr:colOff>
      <xdr:row>11</xdr:row>
      <xdr:rowOff>0</xdr:rowOff>
    </xdr:to>
    <xdr:sp macro="" textlink="">
      <xdr:nvSpPr>
        <xdr:cNvPr id="11" name="Flecha: hacia abajo 10">
          <a:extLst>
            <a:ext uri="{FF2B5EF4-FFF2-40B4-BE49-F238E27FC236}">
              <a16:creationId xmlns:a16="http://schemas.microsoft.com/office/drawing/2014/main" id="{25DDFDF4-747A-4F1D-B4DF-555015C1D64F}"/>
            </a:ext>
          </a:extLst>
        </xdr:cNvPr>
        <xdr:cNvSpPr/>
      </xdr:nvSpPr>
      <xdr:spPr>
        <a:xfrm rot="16200000">
          <a:off x="5238750" y="1905000"/>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1828800</xdr:colOff>
      <xdr:row>12</xdr:row>
      <xdr:rowOff>0</xdr:rowOff>
    </xdr:from>
    <xdr:to>
      <xdr:col>4</xdr:col>
      <xdr:colOff>2019300</xdr:colOff>
      <xdr:row>13</xdr:row>
      <xdr:rowOff>0</xdr:rowOff>
    </xdr:to>
    <xdr:sp macro="" textlink="">
      <xdr:nvSpPr>
        <xdr:cNvPr id="12" name="Flecha: hacia abajo 11">
          <a:extLst>
            <a:ext uri="{FF2B5EF4-FFF2-40B4-BE49-F238E27FC236}">
              <a16:creationId xmlns:a16="http://schemas.microsoft.com/office/drawing/2014/main" id="{6E562C63-E299-4CEF-934E-D76250D9E34F}"/>
            </a:ext>
          </a:extLst>
        </xdr:cNvPr>
        <xdr:cNvSpPr/>
      </xdr:nvSpPr>
      <xdr:spPr>
        <a:xfrm rot="16200000">
          <a:off x="5229225" y="2286000"/>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476249</xdr:colOff>
      <xdr:row>14</xdr:row>
      <xdr:rowOff>76200</xdr:rowOff>
    </xdr:from>
    <xdr:to>
      <xdr:col>4</xdr:col>
      <xdr:colOff>666749</xdr:colOff>
      <xdr:row>15</xdr:row>
      <xdr:rowOff>76200</xdr:rowOff>
    </xdr:to>
    <xdr:sp macro="" textlink="">
      <xdr:nvSpPr>
        <xdr:cNvPr id="13" name="Flecha: hacia abajo 12">
          <a:extLst>
            <a:ext uri="{FF2B5EF4-FFF2-40B4-BE49-F238E27FC236}">
              <a16:creationId xmlns:a16="http://schemas.microsoft.com/office/drawing/2014/main" id="{12838820-0366-430C-A8B7-0CBD7A32D834}"/>
            </a:ext>
          </a:extLst>
        </xdr:cNvPr>
        <xdr:cNvSpPr/>
      </xdr:nvSpPr>
      <xdr:spPr>
        <a:xfrm rot="3404508">
          <a:off x="3876674" y="2743200"/>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1457324</xdr:colOff>
      <xdr:row>14</xdr:row>
      <xdr:rowOff>104775</xdr:rowOff>
    </xdr:from>
    <xdr:to>
      <xdr:col>4</xdr:col>
      <xdr:colOff>1647824</xdr:colOff>
      <xdr:row>15</xdr:row>
      <xdr:rowOff>104775</xdr:rowOff>
    </xdr:to>
    <xdr:sp macro="" textlink="">
      <xdr:nvSpPr>
        <xdr:cNvPr id="15" name="Flecha: hacia abajo 14">
          <a:extLst>
            <a:ext uri="{FF2B5EF4-FFF2-40B4-BE49-F238E27FC236}">
              <a16:creationId xmlns:a16="http://schemas.microsoft.com/office/drawing/2014/main" id="{53FC85E3-C21A-47AA-8C86-641A2EF77FAC}"/>
            </a:ext>
          </a:extLst>
        </xdr:cNvPr>
        <xdr:cNvSpPr/>
      </xdr:nvSpPr>
      <xdr:spPr>
        <a:xfrm rot="17894985">
          <a:off x="4857749" y="2771775"/>
          <a:ext cx="190500" cy="190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mailto:Run@Rate%20with%20custome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410-CEFD-47BD-9E5A-C83C029532FD}">
  <sheetPr codeName="Hoja1">
    <outlinePr summaryBelow="0" summaryRight="0"/>
    <pageSetUpPr fitToPage="1"/>
  </sheetPr>
  <dimension ref="A1:AS141"/>
  <sheetViews>
    <sheetView showGridLines="0" zoomScale="82" zoomScaleNormal="70" zoomScaleSheetLayoutView="40" zoomScalePageLayoutView="55" workbookViewId="0">
      <selection activeCell="B29" sqref="B29:B48"/>
    </sheetView>
  </sheetViews>
  <sheetFormatPr baseColWidth="10" defaultColWidth="0" defaultRowHeight="0" customHeight="1" zeroHeight="1" outlineLevelRow="1" outlineLevelCol="1" x14ac:dyDescent="0.45"/>
  <cols>
    <col min="1" max="1" width="4.453125" style="3" customWidth="1"/>
    <col min="2" max="2" width="12.81640625" style="346" customWidth="1"/>
    <col min="3" max="5" width="10" style="346" customWidth="1"/>
    <col min="6" max="6" width="12.1796875" style="346" customWidth="1"/>
    <col min="7" max="7" width="26.81640625" style="346" customWidth="1"/>
    <col min="8" max="8" width="10" style="346" customWidth="1"/>
    <col min="9" max="9" width="8.1796875" style="346" customWidth="1"/>
    <col min="10" max="10" width="9.1796875" style="346" customWidth="1"/>
    <col min="11" max="11" width="10" style="346" customWidth="1"/>
    <col min="12" max="12" width="14.1796875" style="346" customWidth="1"/>
    <col min="13" max="13" width="17.81640625" style="346" customWidth="1" collapsed="1"/>
    <col min="14" max="14" width="48.1796875" style="3" hidden="1" customWidth="1" outlineLevel="1"/>
    <col min="15" max="15" width="27" style="3" hidden="1" customWidth="1" collapsed="1"/>
    <col min="16" max="16" width="27" style="3" hidden="1" customWidth="1"/>
    <col min="17" max="17" width="32" style="3" hidden="1" customWidth="1" collapsed="1"/>
    <col min="18" max="18" width="30" style="3" hidden="1" customWidth="1" outlineLevel="1"/>
    <col min="19" max="19" width="44.81640625" style="24" hidden="1" customWidth="1" outlineLevel="1"/>
    <col min="20" max="24" width="35.81640625" style="24" hidden="1" customWidth="1" outlineLevel="1"/>
    <col min="25" max="25" width="4.1796875" style="3" customWidth="1" collapsed="1"/>
    <col min="26" max="26" width="20.1796875" style="123" hidden="1" customWidth="1"/>
    <col min="27" max="27" width="12.54296875" style="123" hidden="1" customWidth="1"/>
    <col min="28" max="32" width="11.54296875" style="123" hidden="1" customWidth="1"/>
    <col min="33" max="45" width="0" style="123" hidden="1" customWidth="1"/>
    <col min="46" max="16384" width="11.54296875" style="123" hidden="1"/>
  </cols>
  <sheetData>
    <row r="1" spans="2:34" ht="15" customHeight="1" x14ac:dyDescent="0.45"/>
    <row r="2" spans="2:34" ht="15" customHeight="1" thickBot="1" x14ac:dyDescent="0.5"/>
    <row r="3" spans="2:34" ht="15" customHeight="1" x14ac:dyDescent="0.9">
      <c r="B3" s="403"/>
      <c r="C3" s="404"/>
      <c r="D3" s="404"/>
      <c r="E3" s="702" t="s">
        <v>0</v>
      </c>
      <c r="F3" s="702"/>
      <c r="G3" s="702"/>
      <c r="H3" s="702"/>
      <c r="I3" s="702"/>
      <c r="J3" s="702"/>
      <c r="K3" s="702"/>
      <c r="L3" s="702"/>
      <c r="M3" s="702"/>
      <c r="N3" s="702"/>
      <c r="O3" s="702"/>
      <c r="P3" s="303"/>
      <c r="Q3" s="302"/>
      <c r="R3" s="304"/>
      <c r="S3" s="305"/>
      <c r="T3" s="622" t="s">
        <v>1</v>
      </c>
      <c r="U3" s="623"/>
      <c r="V3" s="623"/>
      <c r="W3" s="623"/>
      <c r="X3" s="624"/>
      <c r="Y3" s="501" t="s">
        <v>2</v>
      </c>
      <c r="Z3" s="123" t="s">
        <v>3</v>
      </c>
      <c r="AA3" s="123" t="s">
        <v>4</v>
      </c>
      <c r="AB3" s="123" t="s">
        <v>5</v>
      </c>
      <c r="AD3" s="123" t="s">
        <v>6</v>
      </c>
      <c r="AF3" s="123" t="s">
        <v>6</v>
      </c>
    </row>
    <row r="4" spans="2:34" ht="32.15" customHeight="1" thickBot="1" x14ac:dyDescent="0.95">
      <c r="B4" s="405"/>
      <c r="C4" s="406"/>
      <c r="D4" s="406"/>
      <c r="E4" s="703"/>
      <c r="F4" s="703"/>
      <c r="G4" s="703"/>
      <c r="H4" s="703"/>
      <c r="I4" s="703"/>
      <c r="J4" s="703"/>
      <c r="K4" s="703"/>
      <c r="L4" s="703"/>
      <c r="M4" s="703"/>
      <c r="N4" s="703"/>
      <c r="O4" s="703"/>
      <c r="P4" s="306"/>
      <c r="Q4" s="307"/>
      <c r="R4" s="308"/>
      <c r="S4" s="309"/>
      <c r="T4" s="625"/>
      <c r="U4" s="626"/>
      <c r="V4" s="626"/>
      <c r="W4" s="626"/>
      <c r="X4" s="627"/>
      <c r="Y4" s="501" t="s">
        <v>7</v>
      </c>
      <c r="Z4" s="123" t="s">
        <v>8</v>
      </c>
      <c r="AA4" s="123" t="s">
        <v>9</v>
      </c>
      <c r="AB4" s="123" t="s">
        <v>10</v>
      </c>
      <c r="AD4" s="123" t="s">
        <v>11</v>
      </c>
      <c r="AF4" s="123" t="s">
        <v>12</v>
      </c>
    </row>
    <row r="5" spans="2:34" ht="15" customHeight="1" x14ac:dyDescent="0.3">
      <c r="B5" s="357"/>
      <c r="C5" s="344"/>
      <c r="D5" s="344"/>
      <c r="E5" s="344"/>
      <c r="F5" s="344"/>
      <c r="G5" s="344"/>
      <c r="H5" s="344"/>
      <c r="I5" s="344"/>
      <c r="J5" s="344"/>
      <c r="K5" s="344"/>
      <c r="L5" s="344"/>
      <c r="M5" s="344"/>
      <c r="N5" s="59"/>
      <c r="O5" s="60"/>
      <c r="P5" s="60"/>
      <c r="Q5" s="60"/>
      <c r="R5" s="704"/>
      <c r="S5" s="704"/>
      <c r="T5" s="625"/>
      <c r="U5" s="626"/>
      <c r="V5" s="626"/>
      <c r="W5" s="626"/>
      <c r="X5" s="627"/>
      <c r="Y5" s="501" t="s">
        <v>13</v>
      </c>
      <c r="AA5" s="123" t="s">
        <v>14</v>
      </c>
      <c r="AD5" s="123" t="s">
        <v>15</v>
      </c>
      <c r="AF5" s="123" t="s">
        <v>16</v>
      </c>
    </row>
    <row r="6" spans="2:34" ht="15" customHeight="1" x14ac:dyDescent="0.45">
      <c r="B6" s="358"/>
      <c r="C6" s="347" t="s">
        <v>17</v>
      </c>
      <c r="D6" s="709" t="s">
        <v>18</v>
      </c>
      <c r="E6" s="709"/>
      <c r="F6" s="709"/>
      <c r="G6" s="349" t="s">
        <v>19</v>
      </c>
      <c r="H6" s="709"/>
      <c r="I6" s="709"/>
      <c r="J6" s="709"/>
      <c r="K6" s="407"/>
      <c r="L6" s="348"/>
      <c r="N6" s="37" t="s">
        <v>19</v>
      </c>
      <c r="O6" s="51"/>
      <c r="P6" s="21"/>
      <c r="Q6" s="51"/>
      <c r="R6" s="705"/>
      <c r="S6" s="705"/>
      <c r="T6" s="625"/>
      <c r="U6" s="626"/>
      <c r="V6" s="626"/>
      <c r="W6" s="626"/>
      <c r="X6" s="627"/>
      <c r="Y6" s="501" t="s">
        <v>20</v>
      </c>
      <c r="AF6" s="123" t="s">
        <v>21</v>
      </c>
    </row>
    <row r="7" spans="2:34" ht="15" customHeight="1" x14ac:dyDescent="0.45">
      <c r="B7" s="358"/>
      <c r="C7" s="347" t="s">
        <v>22</v>
      </c>
      <c r="D7" s="709" t="s">
        <v>23</v>
      </c>
      <c r="E7" s="709"/>
      <c r="F7" s="709"/>
      <c r="G7" s="350" t="s">
        <v>24</v>
      </c>
      <c r="H7" s="709"/>
      <c r="I7" s="709"/>
      <c r="J7" s="709"/>
      <c r="K7" s="407"/>
      <c r="L7" s="348"/>
      <c r="N7" s="50" t="s">
        <v>24</v>
      </c>
      <c r="O7" s="173"/>
      <c r="P7" s="214"/>
      <c r="Q7" s="222"/>
      <c r="R7" s="705"/>
      <c r="S7" s="705"/>
      <c r="T7" s="625"/>
      <c r="U7" s="626"/>
      <c r="V7" s="626"/>
      <c r="W7" s="626"/>
      <c r="X7" s="627"/>
      <c r="Y7" s="501" t="s">
        <v>709</v>
      </c>
      <c r="Z7" s="124"/>
      <c r="AA7" s="124"/>
      <c r="AB7" s="124"/>
      <c r="AC7" s="124"/>
      <c r="AE7" s="124"/>
      <c r="AF7" s="123" t="s">
        <v>26</v>
      </c>
      <c r="AG7" s="124"/>
      <c r="AH7" s="124"/>
    </row>
    <row r="8" spans="2:34" ht="15" customHeight="1" x14ac:dyDescent="0.3">
      <c r="B8" s="358"/>
      <c r="C8" s="347" t="s">
        <v>27</v>
      </c>
      <c r="D8" s="709" t="s">
        <v>28</v>
      </c>
      <c r="E8" s="709"/>
      <c r="F8" s="709"/>
      <c r="G8" s="351" t="s">
        <v>29</v>
      </c>
      <c r="H8" s="709" t="s">
        <v>30</v>
      </c>
      <c r="I8" s="709"/>
      <c r="J8" s="709"/>
      <c r="K8" s="407"/>
      <c r="L8" s="348"/>
      <c r="M8" s="349"/>
      <c r="N8" s="53" t="s">
        <v>29</v>
      </c>
      <c r="O8" s="173"/>
      <c r="P8" s="214"/>
      <c r="Q8" s="223"/>
      <c r="R8" s="705"/>
      <c r="S8" s="705"/>
      <c r="T8" s="625"/>
      <c r="U8" s="626"/>
      <c r="V8" s="626"/>
      <c r="W8" s="626"/>
      <c r="X8" s="627"/>
      <c r="Y8" s="501" t="s">
        <v>25</v>
      </c>
      <c r="Z8" s="124"/>
      <c r="AA8" s="124"/>
      <c r="AB8" s="124"/>
      <c r="AC8" s="124"/>
      <c r="AE8" s="124"/>
      <c r="AF8" s="124"/>
      <c r="AG8" s="124"/>
      <c r="AH8" s="124"/>
    </row>
    <row r="9" spans="2:34" ht="15" customHeight="1" x14ac:dyDescent="0.3">
      <c r="B9" s="358"/>
      <c r="C9" s="347" t="s">
        <v>31</v>
      </c>
      <c r="D9" s="709"/>
      <c r="E9" s="709"/>
      <c r="F9" s="709"/>
      <c r="G9" s="351" t="s">
        <v>32</v>
      </c>
      <c r="H9" s="709"/>
      <c r="I9" s="709"/>
      <c r="J9" s="709"/>
      <c r="K9" s="407"/>
      <c r="L9" s="348"/>
      <c r="M9" s="349"/>
      <c r="N9" s="53" t="s">
        <v>32</v>
      </c>
      <c r="O9" s="173"/>
      <c r="P9" s="214"/>
      <c r="Q9" s="221"/>
      <c r="R9" s="705"/>
      <c r="S9" s="705"/>
      <c r="T9" s="625"/>
      <c r="U9" s="626"/>
      <c r="V9" s="626"/>
      <c r="W9" s="626"/>
      <c r="X9" s="627"/>
      <c r="Y9" s="121"/>
      <c r="Z9" s="124"/>
      <c r="AA9" s="124"/>
      <c r="AB9" s="124"/>
      <c r="AC9" s="124"/>
      <c r="AD9" s="124"/>
      <c r="AE9" s="124"/>
      <c r="AF9" s="124"/>
      <c r="AG9" s="124"/>
      <c r="AH9" s="124"/>
    </row>
    <row r="10" spans="2:34" ht="15" customHeight="1" x14ac:dyDescent="0.3">
      <c r="B10" s="358"/>
      <c r="C10" s="347" t="s">
        <v>33</v>
      </c>
      <c r="D10" s="709"/>
      <c r="E10" s="709"/>
      <c r="F10" s="709"/>
      <c r="G10" s="351" t="s">
        <v>34</v>
      </c>
      <c r="H10" s="709"/>
      <c r="I10" s="709"/>
      <c r="J10" s="709"/>
      <c r="K10" s="407"/>
      <c r="L10" s="348"/>
      <c r="M10" s="349"/>
      <c r="N10" s="53" t="s">
        <v>34</v>
      </c>
      <c r="O10" s="173"/>
      <c r="P10" s="214"/>
      <c r="Q10" s="221"/>
      <c r="R10" s="705"/>
      <c r="S10" s="705"/>
      <c r="T10" s="625"/>
      <c r="U10" s="626"/>
      <c r="V10" s="626"/>
      <c r="W10" s="626"/>
      <c r="X10" s="627"/>
      <c r="Y10" s="121"/>
      <c r="Z10" s="124"/>
      <c r="AA10" s="124"/>
      <c r="AB10" s="124"/>
      <c r="AC10" s="124"/>
      <c r="AD10" s="124"/>
      <c r="AE10" s="124"/>
      <c r="AF10" s="124"/>
      <c r="AG10" s="124"/>
      <c r="AH10" s="124"/>
    </row>
    <row r="11" spans="2:34" ht="48" customHeight="1" thickBot="1" x14ac:dyDescent="0.5">
      <c r="B11" s="358"/>
      <c r="C11" s="345"/>
      <c r="D11" s="345"/>
      <c r="F11" s="345"/>
      <c r="G11" s="345"/>
      <c r="H11" s="345"/>
      <c r="I11" s="345"/>
      <c r="J11" s="345"/>
      <c r="K11" s="345"/>
      <c r="L11" s="345"/>
      <c r="M11" s="345"/>
      <c r="N11" s="36"/>
      <c r="O11" s="215"/>
      <c r="P11" s="59"/>
      <c r="Q11" s="59"/>
      <c r="R11" s="705"/>
      <c r="S11" s="705"/>
      <c r="T11" s="625"/>
      <c r="U11" s="626"/>
      <c r="V11" s="626"/>
      <c r="W11" s="626"/>
      <c r="X11" s="627"/>
      <c r="Y11" s="121"/>
      <c r="Z11" s="124"/>
      <c r="AA11" s="124"/>
      <c r="AB11" s="124"/>
      <c r="AC11" s="124"/>
      <c r="AD11" s="124"/>
      <c r="AE11" s="124"/>
      <c r="AF11" s="124"/>
      <c r="AG11" s="124"/>
      <c r="AH11" s="124"/>
    </row>
    <row r="12" spans="2:34" ht="43.4" customHeight="1" thickBot="1" x14ac:dyDescent="0.35">
      <c r="B12" s="329">
        <v>1</v>
      </c>
      <c r="C12" s="706" t="s">
        <v>35</v>
      </c>
      <c r="D12" s="707"/>
      <c r="E12" s="707"/>
      <c r="F12" s="707"/>
      <c r="G12" s="707"/>
      <c r="H12" s="707"/>
      <c r="I12" s="707"/>
      <c r="J12" s="707"/>
      <c r="K12" s="707"/>
      <c r="L12" s="707"/>
      <c r="M12" s="708"/>
      <c r="N12" s="451" t="s">
        <v>36</v>
      </c>
      <c r="O12" s="311" t="s">
        <v>37</v>
      </c>
      <c r="P12" s="312" t="s">
        <v>38</v>
      </c>
      <c r="Q12" s="313" t="s">
        <v>39</v>
      </c>
      <c r="R12" s="314" t="s">
        <v>40</v>
      </c>
      <c r="S12" s="318" t="s">
        <v>41</v>
      </c>
      <c r="T12" s="316" t="s">
        <v>42</v>
      </c>
      <c r="U12" s="317" t="s">
        <v>43</v>
      </c>
      <c r="V12" s="317" t="s">
        <v>44</v>
      </c>
      <c r="W12" s="317" t="s">
        <v>45</v>
      </c>
      <c r="X12" s="315" t="s">
        <v>46</v>
      </c>
      <c r="Y12" s="122"/>
      <c r="Z12" s="124"/>
      <c r="AA12" s="124"/>
      <c r="AB12" s="124"/>
      <c r="AC12" s="124"/>
      <c r="AD12" s="124"/>
      <c r="AE12" s="124"/>
      <c r="AF12" s="124"/>
      <c r="AG12" s="124"/>
      <c r="AH12" s="124"/>
    </row>
    <row r="13" spans="2:34" ht="24.75" customHeight="1" outlineLevel="1" x14ac:dyDescent="0.3">
      <c r="B13" s="662" t="s">
        <v>47</v>
      </c>
      <c r="C13" s="448" t="s">
        <v>48</v>
      </c>
      <c r="D13" s="710" t="s">
        <v>49</v>
      </c>
      <c r="E13" s="710"/>
      <c r="F13" s="710"/>
      <c r="G13" s="710"/>
      <c r="H13" s="710"/>
      <c r="I13" s="710"/>
      <c r="J13" s="710"/>
      <c r="K13" s="710"/>
      <c r="L13" s="710"/>
      <c r="M13" s="711"/>
      <c r="N13" s="442" t="s">
        <v>50</v>
      </c>
      <c r="O13" s="228"/>
      <c r="P13" s="217"/>
      <c r="Q13" s="218"/>
      <c r="R13" s="200"/>
      <c r="S13" s="319" t="s">
        <v>51</v>
      </c>
      <c r="T13" s="219" t="s">
        <v>52</v>
      </c>
      <c r="U13" s="187" t="s">
        <v>53</v>
      </c>
      <c r="V13" s="187" t="s">
        <v>54</v>
      </c>
      <c r="W13" s="187" t="s">
        <v>55</v>
      </c>
      <c r="X13" s="220" t="s">
        <v>56</v>
      </c>
      <c r="Y13" s="122"/>
      <c r="Z13" s="124"/>
      <c r="AA13" s="124"/>
      <c r="AB13" s="124"/>
      <c r="AC13" s="124"/>
      <c r="AD13" s="124"/>
      <c r="AE13" s="124"/>
      <c r="AF13" s="124"/>
      <c r="AG13" s="124"/>
      <c r="AH13" s="124"/>
    </row>
    <row r="14" spans="2:34" ht="24.75" customHeight="1" outlineLevel="1" x14ac:dyDescent="0.3">
      <c r="B14" s="663"/>
      <c r="C14" s="449" t="s">
        <v>57</v>
      </c>
      <c r="D14" s="712" t="s">
        <v>58</v>
      </c>
      <c r="E14" s="712"/>
      <c r="F14" s="712"/>
      <c r="G14" s="712"/>
      <c r="H14" s="712"/>
      <c r="I14" s="712"/>
      <c r="J14" s="712"/>
      <c r="K14" s="712"/>
      <c r="L14" s="712"/>
      <c r="M14" s="713"/>
      <c r="N14" s="443" t="s">
        <v>59</v>
      </c>
      <c r="O14" s="189"/>
      <c r="P14" s="179"/>
      <c r="Q14" s="180"/>
      <c r="R14" s="196"/>
      <c r="S14" s="320" t="s">
        <v>60</v>
      </c>
      <c r="T14" s="176" t="s">
        <v>54</v>
      </c>
      <c r="U14" s="98" t="s">
        <v>52</v>
      </c>
      <c r="V14" s="98" t="s">
        <v>61</v>
      </c>
      <c r="W14" s="98" t="s">
        <v>55</v>
      </c>
      <c r="X14" s="177" t="s">
        <v>53</v>
      </c>
      <c r="Y14" s="122"/>
      <c r="Z14" s="124"/>
      <c r="AA14" s="124"/>
      <c r="AB14" s="124"/>
      <c r="AC14" s="124"/>
      <c r="AD14" s="124"/>
      <c r="AE14" s="124"/>
      <c r="AF14" s="124"/>
      <c r="AG14" s="124"/>
      <c r="AH14" s="124"/>
    </row>
    <row r="15" spans="2:34" ht="24.75" customHeight="1" outlineLevel="1" x14ac:dyDescent="0.3">
      <c r="B15" s="663"/>
      <c r="C15" s="449" t="s">
        <v>62</v>
      </c>
      <c r="D15" s="714" t="s">
        <v>63</v>
      </c>
      <c r="E15" s="714"/>
      <c r="F15" s="714"/>
      <c r="G15" s="714"/>
      <c r="H15" s="714"/>
      <c r="I15" s="714"/>
      <c r="J15" s="714"/>
      <c r="K15" s="714"/>
      <c r="L15" s="714"/>
      <c r="M15" s="715"/>
      <c r="N15" s="444" t="s">
        <v>64</v>
      </c>
      <c r="O15" s="189"/>
      <c r="P15" s="179"/>
      <c r="Q15" s="180"/>
      <c r="R15" s="196"/>
      <c r="S15" s="320" t="s">
        <v>65</v>
      </c>
      <c r="T15" s="183" t="s">
        <v>66</v>
      </c>
      <c r="U15" s="98" t="s">
        <v>53</v>
      </c>
      <c r="V15" s="98" t="s">
        <v>54</v>
      </c>
      <c r="W15" s="98" t="s">
        <v>67</v>
      </c>
      <c r="X15" s="177" t="s">
        <v>68</v>
      </c>
      <c r="Y15" s="122"/>
      <c r="Z15" s="124"/>
      <c r="AA15" s="124"/>
      <c r="AB15" s="124"/>
      <c r="AC15" s="124"/>
      <c r="AD15" s="124"/>
      <c r="AE15" s="124"/>
      <c r="AF15" s="124"/>
      <c r="AG15" s="124"/>
      <c r="AH15" s="124"/>
    </row>
    <row r="16" spans="2:34" ht="24.75" customHeight="1" outlineLevel="1" x14ac:dyDescent="0.3">
      <c r="B16" s="663"/>
      <c r="C16" s="449" t="s">
        <v>69</v>
      </c>
      <c r="D16" s="712" t="s">
        <v>70</v>
      </c>
      <c r="E16" s="712"/>
      <c r="F16" s="712"/>
      <c r="G16" s="712"/>
      <c r="H16" s="712"/>
      <c r="I16" s="712"/>
      <c r="J16" s="712"/>
      <c r="K16" s="712"/>
      <c r="L16" s="712"/>
      <c r="M16" s="713"/>
      <c r="N16" s="444" t="s">
        <v>71</v>
      </c>
      <c r="O16" s="189"/>
      <c r="P16" s="179"/>
      <c r="Q16" s="180"/>
      <c r="R16" s="196"/>
      <c r="S16" s="320" t="s">
        <v>72</v>
      </c>
      <c r="T16" s="176" t="s">
        <v>54</v>
      </c>
      <c r="U16" s="98" t="s">
        <v>73</v>
      </c>
      <c r="V16" s="98" t="s">
        <v>55</v>
      </c>
      <c r="W16" s="98" t="s">
        <v>74</v>
      </c>
      <c r="X16" s="177" t="s">
        <v>75</v>
      </c>
      <c r="Y16" s="122"/>
      <c r="Z16" s="124"/>
      <c r="AA16" s="124"/>
      <c r="AB16" s="124"/>
      <c r="AC16" s="124"/>
      <c r="AD16" s="124"/>
      <c r="AE16" s="124"/>
      <c r="AF16" s="124"/>
      <c r="AG16" s="124"/>
      <c r="AH16" s="124"/>
    </row>
    <row r="17" spans="2:34" ht="24.75" customHeight="1" outlineLevel="1" x14ac:dyDescent="0.3">
      <c r="B17" s="663"/>
      <c r="C17" s="449" t="s">
        <v>76</v>
      </c>
      <c r="D17" s="714" t="s">
        <v>77</v>
      </c>
      <c r="E17" s="714"/>
      <c r="F17" s="714"/>
      <c r="G17" s="714"/>
      <c r="H17" s="714"/>
      <c r="I17" s="714"/>
      <c r="J17" s="714"/>
      <c r="K17" s="714"/>
      <c r="L17" s="714"/>
      <c r="M17" s="715"/>
      <c r="N17" s="444" t="s">
        <v>78</v>
      </c>
      <c r="O17" s="189"/>
      <c r="P17" s="179"/>
      <c r="Q17" s="180"/>
      <c r="R17" s="196"/>
      <c r="S17" s="320" t="s">
        <v>79</v>
      </c>
      <c r="T17" s="183" t="s">
        <v>80</v>
      </c>
      <c r="U17" s="98" t="s">
        <v>54</v>
      </c>
      <c r="V17" s="98" t="s">
        <v>81</v>
      </c>
      <c r="W17" s="98" t="s">
        <v>55</v>
      </c>
      <c r="X17" s="177" t="s">
        <v>82</v>
      </c>
      <c r="Y17" s="122"/>
      <c r="Z17" s="124"/>
      <c r="AA17" s="124"/>
      <c r="AB17" s="124"/>
      <c r="AC17" s="124"/>
      <c r="AD17" s="124"/>
      <c r="AE17" s="124"/>
      <c r="AF17" s="124"/>
      <c r="AG17" s="124"/>
      <c r="AH17" s="124"/>
    </row>
    <row r="18" spans="2:34" ht="24.75" customHeight="1" outlineLevel="1" x14ac:dyDescent="0.3">
      <c r="B18" s="663"/>
      <c r="C18" s="449" t="s">
        <v>83</v>
      </c>
      <c r="D18" s="712" t="s">
        <v>84</v>
      </c>
      <c r="E18" s="712"/>
      <c r="F18" s="712"/>
      <c r="G18" s="712"/>
      <c r="H18" s="712"/>
      <c r="I18" s="712"/>
      <c r="J18" s="712"/>
      <c r="K18" s="712"/>
      <c r="L18" s="712"/>
      <c r="M18" s="713"/>
      <c r="N18" s="443" t="s">
        <v>85</v>
      </c>
      <c r="O18" s="189"/>
      <c r="P18" s="179"/>
      <c r="Q18" s="180"/>
      <c r="R18" s="196"/>
      <c r="S18" s="320" t="s">
        <v>86</v>
      </c>
      <c r="T18" s="183" t="s">
        <v>87</v>
      </c>
      <c r="U18" s="98" t="s">
        <v>52</v>
      </c>
      <c r="V18" s="98" t="s">
        <v>54</v>
      </c>
      <c r="W18" s="98" t="s">
        <v>88</v>
      </c>
      <c r="X18" s="177" t="s">
        <v>89</v>
      </c>
      <c r="Y18" s="122"/>
      <c r="Z18" s="124"/>
      <c r="AA18" s="124"/>
      <c r="AB18" s="124"/>
      <c r="AC18" s="124"/>
      <c r="AD18" s="124"/>
      <c r="AE18" s="124"/>
      <c r="AF18" s="124"/>
      <c r="AG18" s="124"/>
      <c r="AH18" s="124"/>
    </row>
    <row r="19" spans="2:34" ht="24.75" customHeight="1" outlineLevel="1" x14ac:dyDescent="0.3">
      <c r="B19" s="663"/>
      <c r="C19" s="449" t="s">
        <v>90</v>
      </c>
      <c r="D19" s="712" t="s">
        <v>91</v>
      </c>
      <c r="E19" s="712"/>
      <c r="F19" s="712"/>
      <c r="G19" s="712"/>
      <c r="H19" s="712"/>
      <c r="I19" s="712"/>
      <c r="J19" s="712"/>
      <c r="K19" s="712"/>
      <c r="L19" s="712"/>
      <c r="M19" s="713"/>
      <c r="N19" s="443" t="s">
        <v>92</v>
      </c>
      <c r="O19" s="189"/>
      <c r="P19" s="179"/>
      <c r="Q19" s="180"/>
      <c r="R19" s="196"/>
      <c r="S19" s="320" t="s">
        <v>93</v>
      </c>
      <c r="T19" s="176" t="s">
        <v>94</v>
      </c>
      <c r="U19" s="98" t="s">
        <v>73</v>
      </c>
      <c r="V19" s="98" t="s">
        <v>95</v>
      </c>
      <c r="W19" s="98" t="s">
        <v>96</v>
      </c>
      <c r="X19" s="177" t="s">
        <v>97</v>
      </c>
      <c r="Y19" s="122"/>
      <c r="Z19" s="124"/>
      <c r="AA19" s="124"/>
      <c r="AB19" s="124"/>
      <c r="AC19" s="124"/>
      <c r="AD19" s="124"/>
      <c r="AE19" s="124"/>
      <c r="AF19" s="124"/>
      <c r="AG19" s="124"/>
      <c r="AH19" s="124"/>
    </row>
    <row r="20" spans="2:34" ht="24.75" customHeight="1" outlineLevel="1" x14ac:dyDescent="0.3">
      <c r="B20" s="663"/>
      <c r="C20" s="449" t="s">
        <v>98</v>
      </c>
      <c r="D20" s="712" t="s">
        <v>99</v>
      </c>
      <c r="E20" s="712"/>
      <c r="F20" s="712"/>
      <c r="G20" s="712"/>
      <c r="H20" s="712"/>
      <c r="I20" s="712"/>
      <c r="J20" s="712"/>
      <c r="K20" s="712"/>
      <c r="L20" s="712"/>
      <c r="M20" s="713"/>
      <c r="N20" s="444" t="s">
        <v>100</v>
      </c>
      <c r="O20" s="189"/>
      <c r="P20" s="179"/>
      <c r="Q20" s="180"/>
      <c r="R20" s="196"/>
      <c r="S20" s="320" t="s">
        <v>101</v>
      </c>
      <c r="T20" s="183" t="s">
        <v>102</v>
      </c>
      <c r="U20" s="98" t="s">
        <v>103</v>
      </c>
      <c r="V20" s="98" t="s">
        <v>95</v>
      </c>
      <c r="W20" s="98" t="s">
        <v>73</v>
      </c>
      <c r="X20" s="177" t="s">
        <v>54</v>
      </c>
      <c r="Y20" s="122"/>
      <c r="Z20" s="124"/>
      <c r="AA20" s="124"/>
      <c r="AB20" s="124"/>
      <c r="AC20" s="124"/>
      <c r="AD20" s="124"/>
      <c r="AE20" s="124"/>
      <c r="AF20" s="124"/>
      <c r="AG20" s="124"/>
      <c r="AH20" s="124"/>
    </row>
    <row r="21" spans="2:34" ht="24.75" customHeight="1" outlineLevel="1" x14ac:dyDescent="0.3">
      <c r="B21" s="663"/>
      <c r="C21" s="449" t="s">
        <v>104</v>
      </c>
      <c r="D21" s="712" t="s">
        <v>105</v>
      </c>
      <c r="E21" s="712"/>
      <c r="F21" s="712"/>
      <c r="G21" s="712"/>
      <c r="H21" s="712"/>
      <c r="I21" s="712"/>
      <c r="J21" s="712"/>
      <c r="K21" s="712"/>
      <c r="L21" s="712"/>
      <c r="M21" s="713"/>
      <c r="N21" s="444" t="s">
        <v>106</v>
      </c>
      <c r="O21" s="189"/>
      <c r="P21" s="179"/>
      <c r="Q21" s="180"/>
      <c r="R21" s="196"/>
      <c r="S21" s="320" t="s">
        <v>107</v>
      </c>
      <c r="T21" s="183" t="s">
        <v>52</v>
      </c>
      <c r="U21" s="98" t="s">
        <v>53</v>
      </c>
      <c r="V21" s="98" t="s">
        <v>108</v>
      </c>
      <c r="W21" s="183" t="s">
        <v>80</v>
      </c>
      <c r="X21" s="177" t="s">
        <v>109</v>
      </c>
      <c r="Y21" s="122"/>
      <c r="Z21" s="124"/>
      <c r="AA21" s="124"/>
      <c r="AB21" s="124"/>
      <c r="AC21" s="124"/>
      <c r="AD21" s="124"/>
      <c r="AE21" s="124"/>
      <c r="AF21" s="124"/>
      <c r="AG21" s="124"/>
      <c r="AH21" s="124"/>
    </row>
    <row r="22" spans="2:34" ht="24.75" customHeight="1" outlineLevel="1" x14ac:dyDescent="0.3">
      <c r="B22" s="663"/>
      <c r="C22" s="449" t="s">
        <v>110</v>
      </c>
      <c r="D22" s="637" t="s">
        <v>111</v>
      </c>
      <c r="E22" s="637"/>
      <c r="F22" s="637"/>
      <c r="G22" s="637"/>
      <c r="H22" s="637"/>
      <c r="I22" s="637"/>
      <c r="J22" s="637"/>
      <c r="K22" s="637"/>
      <c r="L22" s="637"/>
      <c r="M22" s="698"/>
      <c r="N22" s="445" t="s">
        <v>112</v>
      </c>
      <c r="O22" s="189"/>
      <c r="P22" s="179"/>
      <c r="Q22" s="180"/>
      <c r="R22" s="196"/>
      <c r="S22" s="320" t="s">
        <v>113</v>
      </c>
      <c r="T22" s="183" t="s">
        <v>114</v>
      </c>
      <c r="U22" s="183" t="s">
        <v>52</v>
      </c>
      <c r="V22" s="183" t="s">
        <v>73</v>
      </c>
      <c r="W22" s="98" t="s">
        <v>115</v>
      </c>
      <c r="X22" s="177" t="s">
        <v>116</v>
      </c>
      <c r="Y22" s="122"/>
      <c r="Z22" s="124"/>
      <c r="AA22" s="124"/>
      <c r="AB22" s="124"/>
      <c r="AC22" s="124"/>
      <c r="AD22" s="124"/>
      <c r="AE22" s="124"/>
      <c r="AF22" s="124"/>
      <c r="AG22" s="124"/>
      <c r="AH22" s="124"/>
    </row>
    <row r="23" spans="2:34" ht="24.75" customHeight="1" outlineLevel="1" thickBot="1" x14ac:dyDescent="0.35">
      <c r="B23" s="663"/>
      <c r="C23" s="450" t="s">
        <v>117</v>
      </c>
      <c r="D23" s="652" t="s">
        <v>118</v>
      </c>
      <c r="E23" s="652"/>
      <c r="F23" s="652"/>
      <c r="G23" s="652"/>
      <c r="H23" s="652"/>
      <c r="I23" s="652"/>
      <c r="J23" s="652"/>
      <c r="K23" s="652"/>
      <c r="L23" s="652"/>
      <c r="M23" s="653"/>
      <c r="N23" s="446" t="s">
        <v>119</v>
      </c>
      <c r="O23" s="228"/>
      <c r="P23" s="267"/>
      <c r="Q23" s="181"/>
      <c r="R23" s="232"/>
      <c r="S23" s="321" t="s">
        <v>120</v>
      </c>
      <c r="T23" s="176" t="s">
        <v>52</v>
      </c>
      <c r="U23" s="98" t="s">
        <v>53</v>
      </c>
      <c r="V23" s="98" t="s">
        <v>114</v>
      </c>
      <c r="W23" s="98" t="s">
        <v>88</v>
      </c>
      <c r="X23" s="177" t="s">
        <v>121</v>
      </c>
      <c r="Y23" s="122"/>
      <c r="Z23" s="124"/>
      <c r="AA23" s="124"/>
      <c r="AB23" s="124"/>
      <c r="AC23" s="124"/>
      <c r="AD23" s="124"/>
      <c r="AE23" s="124"/>
      <c r="AF23" s="124"/>
      <c r="AG23" s="124"/>
      <c r="AH23" s="124"/>
    </row>
    <row r="24" spans="2:34" ht="24.75" customHeight="1" outlineLevel="1" thickBot="1" x14ac:dyDescent="0.35">
      <c r="B24" s="663"/>
      <c r="C24" s="572" t="s">
        <v>122</v>
      </c>
      <c r="D24" s="572"/>
      <c r="E24" s="572"/>
      <c r="F24" s="573"/>
      <c r="G24" s="476" t="s">
        <v>123</v>
      </c>
      <c r="H24" s="447"/>
      <c r="I24" s="447"/>
      <c r="J24" s="447"/>
      <c r="K24" s="447"/>
      <c r="L24" s="447"/>
      <c r="M24" s="465"/>
      <c r="N24" s="249"/>
      <c r="O24" s="249"/>
      <c r="P24" s="249"/>
      <c r="Q24" s="249"/>
      <c r="R24" s="249"/>
      <c r="S24" s="249"/>
      <c r="T24" s="245"/>
      <c r="U24" s="246"/>
      <c r="V24" s="246"/>
      <c r="W24" s="246"/>
      <c r="X24" s="251"/>
      <c r="Y24" s="252"/>
    </row>
    <row r="25" spans="2:34" ht="15" customHeight="1" outlineLevel="1" x14ac:dyDescent="0.3">
      <c r="B25" s="663"/>
      <c r="C25" s="668" t="s">
        <v>124</v>
      </c>
      <c r="D25" s="669"/>
      <c r="E25" s="576" t="s">
        <v>2</v>
      </c>
      <c r="F25" s="577"/>
      <c r="G25" s="699" t="s">
        <v>53</v>
      </c>
      <c r="H25" s="436"/>
      <c r="I25" s="676"/>
      <c r="J25" s="676"/>
      <c r="K25" s="636"/>
      <c r="L25" s="636"/>
      <c r="M25" s="439"/>
      <c r="N25" s="244"/>
      <c r="O25" s="244"/>
      <c r="P25" s="244"/>
      <c r="Q25" s="243"/>
      <c r="R25" s="244"/>
      <c r="S25" s="243"/>
      <c r="T25" s="244"/>
      <c r="U25" s="243"/>
      <c r="V25" s="243"/>
      <c r="W25" s="242"/>
      <c r="X25" s="224"/>
      <c r="Y25" s="252"/>
    </row>
    <row r="26" spans="2:34" ht="15" customHeight="1" outlineLevel="1" x14ac:dyDescent="0.3">
      <c r="B26" s="663"/>
      <c r="C26" s="677" t="s">
        <v>125</v>
      </c>
      <c r="D26" s="678"/>
      <c r="E26" s="679"/>
      <c r="F26" s="680"/>
      <c r="G26" s="700"/>
      <c r="H26" s="436"/>
      <c r="I26" s="636"/>
      <c r="J26" s="636"/>
      <c r="K26" s="636"/>
      <c r="L26" s="636"/>
      <c r="M26" s="459"/>
      <c r="N26" s="244"/>
      <c r="O26" s="244"/>
      <c r="P26" s="244"/>
      <c r="Q26" s="244"/>
      <c r="R26" s="244"/>
      <c r="S26" s="243"/>
      <c r="T26" s="244"/>
      <c r="U26" s="243"/>
      <c r="V26" s="243"/>
      <c r="W26" s="242"/>
      <c r="X26" s="224"/>
      <c r="Y26" s="252"/>
    </row>
    <row r="27" spans="2:34" ht="15" customHeight="1" outlineLevel="1" thickBot="1" x14ac:dyDescent="0.35">
      <c r="B27" s="664"/>
      <c r="C27" s="654" t="s">
        <v>126</v>
      </c>
      <c r="D27" s="655"/>
      <c r="E27" s="656"/>
      <c r="F27" s="657"/>
      <c r="G27" s="701"/>
      <c r="H27" s="401"/>
      <c r="I27" s="658"/>
      <c r="J27" s="658"/>
      <c r="K27" s="658"/>
      <c r="L27" s="658"/>
      <c r="M27" s="460"/>
      <c r="N27" s="247"/>
      <c r="O27" s="247"/>
      <c r="P27" s="247"/>
      <c r="Q27" s="247"/>
      <c r="R27" s="247"/>
      <c r="S27" s="248"/>
      <c r="T27" s="247"/>
      <c r="U27" s="248"/>
      <c r="V27" s="248"/>
      <c r="W27" s="239"/>
      <c r="X27" s="71"/>
      <c r="Y27" s="252"/>
    </row>
    <row r="28" spans="2:34" ht="34.5" customHeight="1" thickBot="1" x14ac:dyDescent="0.35">
      <c r="B28" s="359" t="s">
        <v>127</v>
      </c>
      <c r="C28" s="681" t="s">
        <v>128</v>
      </c>
      <c r="D28" s="682"/>
      <c r="E28" s="682"/>
      <c r="F28" s="682"/>
      <c r="G28" s="682"/>
      <c r="H28" s="682"/>
      <c r="I28" s="682"/>
      <c r="J28" s="682"/>
      <c r="K28" s="682"/>
      <c r="L28" s="682"/>
      <c r="M28" s="683"/>
      <c r="N28" s="451" t="s">
        <v>36</v>
      </c>
      <c r="O28" s="311" t="s">
        <v>37</v>
      </c>
      <c r="P28" s="312" t="s">
        <v>38</v>
      </c>
      <c r="Q28" s="313" t="s">
        <v>39</v>
      </c>
      <c r="R28" s="314" t="s">
        <v>40</v>
      </c>
      <c r="S28" s="317" t="s">
        <v>41</v>
      </c>
      <c r="T28" s="314" t="s">
        <v>42</v>
      </c>
      <c r="U28" s="317" t="s">
        <v>43</v>
      </c>
      <c r="V28" s="317" t="s">
        <v>44</v>
      </c>
      <c r="W28" s="317" t="s">
        <v>45</v>
      </c>
      <c r="X28" s="315" t="s">
        <v>46</v>
      </c>
      <c r="Y28" s="122"/>
      <c r="Z28" s="124"/>
      <c r="AA28" s="124"/>
      <c r="AB28" s="124"/>
      <c r="AC28" s="124"/>
      <c r="AD28" s="124"/>
      <c r="AE28" s="124"/>
      <c r="AF28" s="124"/>
      <c r="AG28" s="124"/>
      <c r="AH28" s="124"/>
    </row>
    <row r="29" spans="2:34" ht="24" customHeight="1" outlineLevel="1" x14ac:dyDescent="0.3">
      <c r="B29" s="692" t="s">
        <v>129</v>
      </c>
      <c r="C29" s="448" t="s">
        <v>130</v>
      </c>
      <c r="D29" s="695" t="s">
        <v>131</v>
      </c>
      <c r="E29" s="696"/>
      <c r="F29" s="696"/>
      <c r="G29" s="696"/>
      <c r="H29" s="696"/>
      <c r="I29" s="696"/>
      <c r="J29" s="696"/>
      <c r="K29" s="696"/>
      <c r="L29" s="696"/>
      <c r="M29" s="697"/>
      <c r="N29" s="452" t="s">
        <v>132</v>
      </c>
      <c r="O29" s="228"/>
      <c r="P29" s="228"/>
      <c r="Q29" s="229"/>
      <c r="R29" s="195"/>
      <c r="S29" s="322" t="s">
        <v>133</v>
      </c>
      <c r="T29" s="230" t="s">
        <v>114</v>
      </c>
      <c r="U29" s="187" t="s">
        <v>134</v>
      </c>
      <c r="V29" s="187" t="s">
        <v>135</v>
      </c>
      <c r="W29" s="187" t="s">
        <v>136</v>
      </c>
      <c r="X29" s="220" t="s">
        <v>137</v>
      </c>
      <c r="Y29" s="122"/>
      <c r="Z29" s="124"/>
      <c r="AA29" s="124"/>
      <c r="AB29" s="124"/>
      <c r="AC29" s="124"/>
      <c r="AD29" s="124"/>
      <c r="AE29" s="124"/>
      <c r="AF29" s="124"/>
      <c r="AG29" s="124"/>
      <c r="AH29" s="124"/>
    </row>
    <row r="30" spans="2:34" ht="24" customHeight="1" outlineLevel="1" x14ac:dyDescent="0.3">
      <c r="B30" s="693"/>
      <c r="C30" s="456" t="s">
        <v>138</v>
      </c>
      <c r="D30" s="637" t="s">
        <v>139</v>
      </c>
      <c r="E30" s="640"/>
      <c r="F30" s="640"/>
      <c r="G30" s="640"/>
      <c r="H30" s="640"/>
      <c r="I30" s="640"/>
      <c r="J30" s="640"/>
      <c r="K30" s="640"/>
      <c r="L30" s="640"/>
      <c r="M30" s="641"/>
      <c r="N30" s="453" t="s">
        <v>140</v>
      </c>
      <c r="O30" s="189"/>
      <c r="P30" s="189"/>
      <c r="Q30" s="166"/>
      <c r="R30" s="196"/>
      <c r="S30" s="320" t="s">
        <v>141</v>
      </c>
      <c r="T30" s="234" t="s">
        <v>142</v>
      </c>
      <c r="U30" s="235" t="s">
        <v>114</v>
      </c>
      <c r="V30" s="235" t="s">
        <v>143</v>
      </c>
      <c r="W30" s="98" t="s">
        <v>144</v>
      </c>
      <c r="X30" s="177" t="s">
        <v>145</v>
      </c>
      <c r="Y30" s="122"/>
      <c r="Z30" s="124"/>
      <c r="AA30" s="124"/>
      <c r="AB30" s="124"/>
      <c r="AC30" s="124"/>
      <c r="AD30" s="124"/>
      <c r="AE30" s="124"/>
      <c r="AF30" s="124"/>
      <c r="AG30" s="124"/>
      <c r="AH30" s="124"/>
    </row>
    <row r="31" spans="2:34" ht="24" customHeight="1" outlineLevel="1" x14ac:dyDescent="0.3">
      <c r="B31" s="693"/>
      <c r="C31" s="456" t="s">
        <v>146</v>
      </c>
      <c r="D31" s="637" t="s">
        <v>147</v>
      </c>
      <c r="E31" s="640"/>
      <c r="F31" s="640"/>
      <c r="G31" s="640"/>
      <c r="H31" s="640"/>
      <c r="I31" s="640"/>
      <c r="J31" s="640"/>
      <c r="K31" s="640"/>
      <c r="L31" s="640"/>
      <c r="M31" s="641"/>
      <c r="N31" s="454" t="s">
        <v>148</v>
      </c>
      <c r="O31" s="168"/>
      <c r="P31" s="168"/>
      <c r="Q31" s="165"/>
      <c r="R31" s="209"/>
      <c r="S31" s="320" t="s">
        <v>149</v>
      </c>
      <c r="T31" s="98" t="s">
        <v>150</v>
      </c>
      <c r="U31" s="98" t="s">
        <v>151</v>
      </c>
      <c r="V31" s="98" t="s">
        <v>152</v>
      </c>
      <c r="W31" s="98" t="s">
        <v>153</v>
      </c>
      <c r="X31" s="177" t="s">
        <v>154</v>
      </c>
      <c r="Y31" s="122"/>
      <c r="Z31" s="124"/>
      <c r="AA31" s="124"/>
      <c r="AB31" s="124"/>
      <c r="AC31" s="124"/>
      <c r="AD31" s="124"/>
      <c r="AE31" s="124"/>
      <c r="AF31" s="124"/>
      <c r="AG31" s="124"/>
      <c r="AH31" s="124"/>
    </row>
    <row r="32" spans="2:34" ht="24" customHeight="1" outlineLevel="1" x14ac:dyDescent="0.3">
      <c r="B32" s="693"/>
      <c r="C32" s="456" t="s">
        <v>155</v>
      </c>
      <c r="D32" s="640" t="s">
        <v>156</v>
      </c>
      <c r="E32" s="640"/>
      <c r="F32" s="640"/>
      <c r="G32" s="640"/>
      <c r="H32" s="640"/>
      <c r="I32" s="640"/>
      <c r="J32" s="640"/>
      <c r="K32" s="640"/>
      <c r="L32" s="640"/>
      <c r="M32" s="641"/>
      <c r="N32" s="453" t="s">
        <v>157</v>
      </c>
      <c r="O32" s="189"/>
      <c r="P32" s="189"/>
      <c r="Q32" s="166" t="s">
        <v>158</v>
      </c>
      <c r="R32" s="196"/>
      <c r="S32" s="320" t="s">
        <v>159</v>
      </c>
      <c r="T32" s="169" t="s">
        <v>114</v>
      </c>
      <c r="U32" s="98" t="s">
        <v>134</v>
      </c>
      <c r="V32" s="187" t="s">
        <v>135</v>
      </c>
      <c r="W32" s="98" t="s">
        <v>160</v>
      </c>
      <c r="X32" s="177" t="s">
        <v>52</v>
      </c>
      <c r="Y32" s="122"/>
      <c r="Z32" s="124"/>
      <c r="AA32" s="124"/>
      <c r="AB32" s="124"/>
      <c r="AC32" s="124"/>
      <c r="AD32" s="124"/>
      <c r="AE32" s="124"/>
      <c r="AF32" s="124"/>
      <c r="AG32" s="124"/>
      <c r="AH32" s="124"/>
    </row>
    <row r="33" spans="2:34" ht="24" customHeight="1" outlineLevel="1" x14ac:dyDescent="0.3">
      <c r="B33" s="693"/>
      <c r="C33" s="456" t="s">
        <v>161</v>
      </c>
      <c r="D33" s="640" t="s">
        <v>162</v>
      </c>
      <c r="E33" s="640"/>
      <c r="F33" s="640"/>
      <c r="G33" s="640"/>
      <c r="H33" s="640"/>
      <c r="I33" s="640"/>
      <c r="J33" s="640"/>
      <c r="K33" s="640"/>
      <c r="L33" s="640"/>
      <c r="M33" s="641"/>
      <c r="N33" s="453" t="s">
        <v>163</v>
      </c>
      <c r="O33" s="189"/>
      <c r="P33" s="189"/>
      <c r="Q33" s="166"/>
      <c r="R33" s="196"/>
      <c r="S33" s="320" t="s">
        <v>164</v>
      </c>
      <c r="T33" s="183" t="s">
        <v>165</v>
      </c>
      <c r="U33" s="176" t="s">
        <v>109</v>
      </c>
      <c r="V33" s="98" t="s">
        <v>166</v>
      </c>
      <c r="W33" s="170" t="s">
        <v>55</v>
      </c>
      <c r="X33" s="177" t="s">
        <v>167</v>
      </c>
      <c r="Y33" s="122"/>
      <c r="Z33" s="124"/>
      <c r="AA33" s="124"/>
      <c r="AB33" s="124"/>
      <c r="AC33" s="124"/>
      <c r="AD33" s="124"/>
      <c r="AE33" s="124"/>
      <c r="AF33" s="124"/>
      <c r="AG33" s="124"/>
      <c r="AH33" s="124"/>
    </row>
    <row r="34" spans="2:34" ht="24" customHeight="1" outlineLevel="1" x14ac:dyDescent="0.3">
      <c r="B34" s="693"/>
      <c r="C34" s="456" t="s">
        <v>168</v>
      </c>
      <c r="D34" s="640" t="s">
        <v>169</v>
      </c>
      <c r="E34" s="640"/>
      <c r="F34" s="640"/>
      <c r="G34" s="640"/>
      <c r="H34" s="640"/>
      <c r="I34" s="640"/>
      <c r="J34" s="640"/>
      <c r="K34" s="640"/>
      <c r="L34" s="640"/>
      <c r="M34" s="641"/>
      <c r="N34" s="455" t="s">
        <v>170</v>
      </c>
      <c r="O34" s="189"/>
      <c r="P34" s="189"/>
      <c r="Q34" s="166"/>
      <c r="R34" s="196"/>
      <c r="S34" s="320" t="s">
        <v>171</v>
      </c>
      <c r="T34" s="170" t="s">
        <v>172</v>
      </c>
      <c r="U34" s="98" t="s">
        <v>173</v>
      </c>
      <c r="V34" s="98" t="s">
        <v>174</v>
      </c>
      <c r="W34" s="98" t="s">
        <v>175</v>
      </c>
      <c r="X34" s="177" t="s">
        <v>176</v>
      </c>
      <c r="Y34" s="122"/>
      <c r="Z34" s="124"/>
      <c r="AA34" s="124"/>
      <c r="AB34" s="124"/>
      <c r="AC34" s="124"/>
      <c r="AD34" s="124"/>
      <c r="AE34" s="124"/>
      <c r="AF34" s="124"/>
      <c r="AG34" s="124"/>
      <c r="AH34" s="124"/>
    </row>
    <row r="35" spans="2:34" ht="24" customHeight="1" outlineLevel="1" x14ac:dyDescent="0.3">
      <c r="B35" s="693"/>
      <c r="C35" s="456" t="s">
        <v>177</v>
      </c>
      <c r="D35" s="637" t="s">
        <v>178</v>
      </c>
      <c r="E35" s="637"/>
      <c r="F35" s="637"/>
      <c r="G35" s="637"/>
      <c r="H35" s="637"/>
      <c r="I35" s="637"/>
      <c r="J35" s="637"/>
      <c r="K35" s="637"/>
      <c r="L35" s="637"/>
      <c r="M35" s="698"/>
      <c r="N35" s="453" t="s">
        <v>179</v>
      </c>
      <c r="O35" s="189"/>
      <c r="P35" s="189"/>
      <c r="Q35" s="166"/>
      <c r="R35" s="196"/>
      <c r="S35" s="320" t="s">
        <v>180</v>
      </c>
      <c r="T35" s="170" t="s">
        <v>181</v>
      </c>
      <c r="U35" s="98" t="s">
        <v>73</v>
      </c>
      <c r="V35" s="98" t="s">
        <v>55</v>
      </c>
      <c r="W35" s="98" t="s">
        <v>182</v>
      </c>
      <c r="X35" s="177" t="s">
        <v>183</v>
      </c>
      <c r="Y35" s="122"/>
      <c r="Z35" s="124"/>
      <c r="AA35" s="124"/>
      <c r="AB35" s="124"/>
      <c r="AC35" s="124"/>
      <c r="AD35" s="124"/>
      <c r="AE35" s="124"/>
      <c r="AF35" s="124"/>
      <c r="AG35" s="124"/>
      <c r="AH35" s="124"/>
    </row>
    <row r="36" spans="2:34" ht="24" customHeight="1" outlineLevel="1" x14ac:dyDescent="0.3">
      <c r="B36" s="693"/>
      <c r="C36" s="456" t="s">
        <v>184</v>
      </c>
      <c r="D36" s="686" t="s">
        <v>185</v>
      </c>
      <c r="E36" s="687"/>
      <c r="F36" s="687"/>
      <c r="G36" s="687"/>
      <c r="H36" s="687"/>
      <c r="I36" s="687"/>
      <c r="J36" s="687"/>
      <c r="K36" s="687"/>
      <c r="L36" s="687"/>
      <c r="M36" s="688"/>
      <c r="N36" s="455" t="s">
        <v>186</v>
      </c>
      <c r="O36" s="189"/>
      <c r="P36" s="189"/>
      <c r="Q36" s="166"/>
      <c r="R36" s="196"/>
      <c r="S36" s="320" t="s">
        <v>187</v>
      </c>
      <c r="T36" s="170" t="s">
        <v>173</v>
      </c>
      <c r="U36" s="98" t="s">
        <v>188</v>
      </c>
      <c r="V36" s="98" t="s">
        <v>189</v>
      </c>
      <c r="W36" s="98" t="s">
        <v>190</v>
      </c>
      <c r="X36" s="177" t="s">
        <v>191</v>
      </c>
      <c r="Y36" s="122"/>
      <c r="Z36" s="124"/>
      <c r="AA36" s="124"/>
      <c r="AB36" s="124"/>
      <c r="AC36" s="124"/>
      <c r="AD36" s="124"/>
      <c r="AE36" s="124"/>
      <c r="AF36" s="124"/>
      <c r="AG36" s="124"/>
      <c r="AH36" s="124"/>
    </row>
    <row r="37" spans="2:34" ht="24" customHeight="1" outlineLevel="1" x14ac:dyDescent="0.3">
      <c r="B37" s="693"/>
      <c r="C37" s="456" t="s">
        <v>192</v>
      </c>
      <c r="D37" s="686" t="s">
        <v>193</v>
      </c>
      <c r="E37" s="687"/>
      <c r="F37" s="687"/>
      <c r="G37" s="687"/>
      <c r="H37" s="687"/>
      <c r="I37" s="687"/>
      <c r="J37" s="687"/>
      <c r="K37" s="687"/>
      <c r="L37" s="687"/>
      <c r="M37" s="688"/>
      <c r="N37" s="455" t="s">
        <v>194</v>
      </c>
      <c r="O37" s="189"/>
      <c r="P37" s="189"/>
      <c r="Q37" s="166"/>
      <c r="R37" s="196"/>
      <c r="S37" s="320" t="s">
        <v>195</v>
      </c>
      <c r="T37" s="169" t="s">
        <v>196</v>
      </c>
      <c r="U37" s="98" t="s">
        <v>73</v>
      </c>
      <c r="V37" s="98" t="s">
        <v>197</v>
      </c>
      <c r="W37" s="98" t="s">
        <v>198</v>
      </c>
      <c r="X37" s="177" t="s">
        <v>199</v>
      </c>
      <c r="Y37" s="122"/>
      <c r="Z37" s="124"/>
      <c r="AA37" s="124"/>
      <c r="AB37" s="124"/>
      <c r="AC37" s="124"/>
      <c r="AD37" s="124"/>
      <c r="AE37" s="124"/>
      <c r="AF37" s="124"/>
      <c r="AG37" s="124"/>
      <c r="AH37" s="124"/>
    </row>
    <row r="38" spans="2:34" ht="24" customHeight="1" outlineLevel="1" x14ac:dyDescent="0.3">
      <c r="B38" s="693"/>
      <c r="C38" s="456" t="s">
        <v>200</v>
      </c>
      <c r="D38" s="686" t="s">
        <v>201</v>
      </c>
      <c r="E38" s="687"/>
      <c r="F38" s="687"/>
      <c r="G38" s="687"/>
      <c r="H38" s="687"/>
      <c r="I38" s="687"/>
      <c r="J38" s="687"/>
      <c r="K38" s="687"/>
      <c r="L38" s="687"/>
      <c r="M38" s="688"/>
      <c r="N38" s="455" t="s">
        <v>202</v>
      </c>
      <c r="O38" s="189"/>
      <c r="P38" s="189"/>
      <c r="Q38" s="166"/>
      <c r="R38" s="196"/>
      <c r="S38" s="320" t="s">
        <v>203</v>
      </c>
      <c r="T38" s="170" t="s">
        <v>204</v>
      </c>
      <c r="U38" s="98" t="s">
        <v>205</v>
      </c>
      <c r="V38" s="98" t="s">
        <v>206</v>
      </c>
      <c r="W38" s="98" t="s">
        <v>207</v>
      </c>
      <c r="X38" s="177" t="s">
        <v>208</v>
      </c>
      <c r="Y38" s="122"/>
      <c r="Z38" s="124"/>
      <c r="AA38" s="124"/>
      <c r="AB38" s="124"/>
      <c r="AC38" s="124"/>
      <c r="AD38" s="124"/>
      <c r="AE38" s="124"/>
      <c r="AF38" s="124"/>
      <c r="AG38" s="124"/>
      <c r="AH38" s="124"/>
    </row>
    <row r="39" spans="2:34" ht="24" customHeight="1" outlineLevel="1" x14ac:dyDescent="0.3">
      <c r="B39" s="693"/>
      <c r="C39" s="456" t="s">
        <v>209</v>
      </c>
      <c r="D39" s="689" t="s">
        <v>210</v>
      </c>
      <c r="E39" s="687"/>
      <c r="F39" s="687"/>
      <c r="G39" s="687"/>
      <c r="H39" s="687"/>
      <c r="I39" s="687"/>
      <c r="J39" s="687"/>
      <c r="K39" s="687"/>
      <c r="L39" s="687"/>
      <c r="M39" s="688"/>
      <c r="N39" s="453" t="s">
        <v>211</v>
      </c>
      <c r="O39" s="189"/>
      <c r="P39" s="189"/>
      <c r="Q39" s="166"/>
      <c r="R39" s="196"/>
      <c r="S39" s="320" t="s">
        <v>212</v>
      </c>
      <c r="T39" s="170" t="s">
        <v>213</v>
      </c>
      <c r="U39" s="98" t="s">
        <v>214</v>
      </c>
      <c r="V39" s="98" t="s">
        <v>215</v>
      </c>
      <c r="W39" s="98" t="s">
        <v>216</v>
      </c>
      <c r="X39" s="177" t="s">
        <v>217</v>
      </c>
      <c r="Y39" s="122"/>
      <c r="Z39" s="124"/>
      <c r="AA39" s="124"/>
      <c r="AB39" s="124"/>
      <c r="AC39" s="124"/>
      <c r="AD39" s="124"/>
      <c r="AE39" s="124"/>
      <c r="AF39" s="124"/>
      <c r="AG39" s="124"/>
      <c r="AH39" s="124"/>
    </row>
    <row r="40" spans="2:34" ht="24" customHeight="1" outlineLevel="1" x14ac:dyDescent="0.3">
      <c r="B40" s="693"/>
      <c r="C40" s="456" t="s">
        <v>218</v>
      </c>
      <c r="D40" s="637" t="s">
        <v>219</v>
      </c>
      <c r="E40" s="640"/>
      <c r="F40" s="640"/>
      <c r="G40" s="640"/>
      <c r="H40" s="640"/>
      <c r="I40" s="640"/>
      <c r="J40" s="640"/>
      <c r="K40" s="640"/>
      <c r="L40" s="640"/>
      <c r="M40" s="641"/>
      <c r="N40" s="453" t="s">
        <v>220</v>
      </c>
      <c r="O40" s="184"/>
      <c r="P40" s="184"/>
      <c r="Q40" s="184"/>
      <c r="R40" s="184"/>
      <c r="S40" s="320" t="s">
        <v>221</v>
      </c>
      <c r="T40" s="204" t="s">
        <v>222</v>
      </c>
      <c r="U40" s="98" t="s">
        <v>73</v>
      </c>
      <c r="V40" s="98" t="s">
        <v>223</v>
      </c>
      <c r="W40" s="98" t="s">
        <v>216</v>
      </c>
      <c r="X40" s="177" t="s">
        <v>114</v>
      </c>
      <c r="Y40" s="122"/>
      <c r="Z40" s="124"/>
      <c r="AA40" s="124"/>
      <c r="AB40" s="124"/>
      <c r="AC40" s="124"/>
      <c r="AD40" s="124"/>
      <c r="AE40" s="124"/>
      <c r="AF40" s="124"/>
      <c r="AG40" s="124"/>
      <c r="AH40" s="124"/>
    </row>
    <row r="41" spans="2:34" ht="24" customHeight="1" outlineLevel="1" x14ac:dyDescent="0.3">
      <c r="B41" s="693"/>
      <c r="C41" s="456" t="s">
        <v>224</v>
      </c>
      <c r="D41" s="689" t="s">
        <v>225</v>
      </c>
      <c r="E41" s="687"/>
      <c r="F41" s="687"/>
      <c r="G41" s="687"/>
      <c r="H41" s="687"/>
      <c r="I41" s="687"/>
      <c r="J41" s="687"/>
      <c r="K41" s="687"/>
      <c r="L41" s="687"/>
      <c r="M41" s="688"/>
      <c r="N41" s="455" t="s">
        <v>226</v>
      </c>
      <c r="O41" s="189"/>
      <c r="P41" s="189"/>
      <c r="Q41" s="166"/>
      <c r="R41" s="196"/>
      <c r="S41" s="320" t="s">
        <v>227</v>
      </c>
      <c r="T41" s="185" t="s">
        <v>196</v>
      </c>
      <c r="U41" s="98" t="s">
        <v>173</v>
      </c>
      <c r="V41" s="98" t="s">
        <v>197</v>
      </c>
      <c r="W41" s="98" t="s">
        <v>175</v>
      </c>
      <c r="X41" s="177" t="s">
        <v>228</v>
      </c>
      <c r="Y41" s="122"/>
      <c r="Z41" s="124"/>
      <c r="AA41" s="124"/>
      <c r="AB41" s="124"/>
      <c r="AC41" s="124"/>
      <c r="AD41" s="124"/>
      <c r="AE41" s="124"/>
      <c r="AF41" s="124"/>
      <c r="AG41" s="124"/>
      <c r="AH41" s="124"/>
    </row>
    <row r="42" spans="2:34" ht="24" customHeight="1" outlineLevel="1" x14ac:dyDescent="0.3">
      <c r="B42" s="693"/>
      <c r="C42" s="456" t="s">
        <v>229</v>
      </c>
      <c r="D42" s="686" t="s">
        <v>230</v>
      </c>
      <c r="E42" s="687"/>
      <c r="F42" s="687"/>
      <c r="G42" s="687"/>
      <c r="H42" s="687"/>
      <c r="I42" s="687"/>
      <c r="J42" s="687"/>
      <c r="K42" s="687"/>
      <c r="L42" s="687"/>
      <c r="M42" s="688"/>
      <c r="N42" s="455" t="s">
        <v>85</v>
      </c>
      <c r="O42" s="189"/>
      <c r="P42" s="189"/>
      <c r="Q42" s="166"/>
      <c r="R42" s="196"/>
      <c r="S42" s="320" t="s">
        <v>231</v>
      </c>
      <c r="T42" s="183" t="s">
        <v>87</v>
      </c>
      <c r="U42" s="169" t="s">
        <v>114</v>
      </c>
      <c r="V42" s="98" t="s">
        <v>232</v>
      </c>
      <c r="W42" s="98" t="s">
        <v>233</v>
      </c>
      <c r="X42" s="177" t="s">
        <v>53</v>
      </c>
      <c r="Y42" s="122"/>
      <c r="Z42" s="124"/>
      <c r="AA42" s="124"/>
      <c r="AB42" s="124"/>
      <c r="AC42" s="124"/>
      <c r="AD42" s="124"/>
      <c r="AE42" s="124"/>
      <c r="AF42" s="124"/>
      <c r="AG42" s="124"/>
      <c r="AH42" s="124"/>
    </row>
    <row r="43" spans="2:34" ht="24" customHeight="1" outlineLevel="1" x14ac:dyDescent="0.3">
      <c r="B43" s="693"/>
      <c r="C43" s="456" t="s">
        <v>234</v>
      </c>
      <c r="D43" s="689" t="s">
        <v>235</v>
      </c>
      <c r="E43" s="690"/>
      <c r="F43" s="690"/>
      <c r="G43" s="690"/>
      <c r="H43" s="690"/>
      <c r="I43" s="690"/>
      <c r="J43" s="690"/>
      <c r="K43" s="690"/>
      <c r="L43" s="690"/>
      <c r="M43" s="691"/>
      <c r="N43" s="453" t="s">
        <v>236</v>
      </c>
      <c r="O43" s="189"/>
      <c r="P43" s="189"/>
      <c r="Q43" s="190"/>
      <c r="R43" s="196"/>
      <c r="S43" s="320" t="s">
        <v>237</v>
      </c>
      <c r="T43" s="169" t="s">
        <v>238</v>
      </c>
      <c r="U43" s="98" t="s">
        <v>239</v>
      </c>
      <c r="V43" s="98" t="s">
        <v>240</v>
      </c>
      <c r="W43" s="98" t="s">
        <v>241</v>
      </c>
      <c r="X43" s="177" t="s">
        <v>242</v>
      </c>
      <c r="Y43" s="122"/>
      <c r="Z43" s="124"/>
      <c r="AA43" s="124"/>
      <c r="AB43" s="124"/>
      <c r="AC43" s="124"/>
      <c r="AD43" s="124"/>
      <c r="AE43" s="124"/>
      <c r="AF43" s="124"/>
      <c r="AG43" s="124"/>
      <c r="AH43" s="124"/>
    </row>
    <row r="44" spans="2:34" ht="24" customHeight="1" outlineLevel="1" thickBot="1" x14ac:dyDescent="0.35">
      <c r="B44" s="693"/>
      <c r="C44" s="457" t="s">
        <v>243</v>
      </c>
      <c r="D44" s="684" t="s">
        <v>244</v>
      </c>
      <c r="E44" s="684"/>
      <c r="F44" s="684"/>
      <c r="G44" s="684"/>
      <c r="H44" s="684"/>
      <c r="I44" s="684"/>
      <c r="J44" s="684"/>
      <c r="K44" s="684"/>
      <c r="L44" s="684"/>
      <c r="M44" s="685"/>
      <c r="N44" s="455" t="s">
        <v>245</v>
      </c>
      <c r="O44" s="240"/>
      <c r="P44" s="240"/>
      <c r="Q44" s="240"/>
      <c r="R44" s="240"/>
      <c r="S44" s="326" t="s">
        <v>246</v>
      </c>
      <c r="T44" s="241" t="s">
        <v>247</v>
      </c>
      <c r="U44" s="235" t="s">
        <v>248</v>
      </c>
      <c r="V44" s="235" t="s">
        <v>249</v>
      </c>
      <c r="W44" s="235" t="s">
        <v>250</v>
      </c>
      <c r="X44" s="177" t="s">
        <v>251</v>
      </c>
      <c r="Y44" s="122"/>
      <c r="Z44" s="124"/>
      <c r="AA44" s="124"/>
      <c r="AB44" s="124"/>
      <c r="AC44" s="124"/>
      <c r="AD44" s="124"/>
      <c r="AE44" s="124"/>
      <c r="AF44" s="124"/>
      <c r="AG44" s="124"/>
      <c r="AH44" s="124"/>
    </row>
    <row r="45" spans="2:34" ht="26.15" customHeight="1" outlineLevel="1" thickBot="1" x14ac:dyDescent="0.35">
      <c r="B45" s="693"/>
      <c r="C45" s="572" t="s">
        <v>122</v>
      </c>
      <c r="D45" s="572"/>
      <c r="E45" s="572"/>
      <c r="F45" s="573"/>
      <c r="G45" s="475" t="s">
        <v>123</v>
      </c>
      <c r="H45" s="447"/>
      <c r="I45" s="447"/>
      <c r="J45" s="447"/>
      <c r="K45" s="447"/>
      <c r="L45" s="447"/>
      <c r="M45" s="465"/>
      <c r="N45" s="249"/>
      <c r="O45" s="249"/>
      <c r="P45" s="249"/>
      <c r="Q45" s="249"/>
      <c r="R45" s="249"/>
      <c r="S45" s="249"/>
      <c r="T45" s="245"/>
      <c r="U45" s="246"/>
      <c r="V45" s="246"/>
      <c r="W45" s="246"/>
      <c r="X45" s="251"/>
    </row>
    <row r="46" spans="2:34" ht="15" customHeight="1" outlineLevel="1" x14ac:dyDescent="0.3">
      <c r="B46" s="693"/>
      <c r="C46" s="668" t="s">
        <v>124</v>
      </c>
      <c r="D46" s="669"/>
      <c r="E46" s="576" t="s">
        <v>2</v>
      </c>
      <c r="F46" s="577"/>
      <c r="G46" s="673" t="s">
        <v>252</v>
      </c>
      <c r="H46" s="436"/>
      <c r="I46" s="676"/>
      <c r="J46" s="676"/>
      <c r="K46" s="636"/>
      <c r="L46" s="636"/>
      <c r="M46" s="439"/>
      <c r="N46" s="244"/>
      <c r="O46" s="244"/>
      <c r="P46" s="244"/>
      <c r="Q46" s="243"/>
      <c r="R46" s="244"/>
      <c r="S46" s="243"/>
      <c r="T46" s="244"/>
      <c r="U46" s="243"/>
      <c r="V46" s="243"/>
      <c r="W46" s="242"/>
      <c r="X46" s="224"/>
    </row>
    <row r="47" spans="2:34" ht="15" customHeight="1" outlineLevel="1" x14ac:dyDescent="0.3">
      <c r="B47" s="693"/>
      <c r="C47" s="677" t="s">
        <v>125</v>
      </c>
      <c r="D47" s="678"/>
      <c r="E47" s="679"/>
      <c r="F47" s="680"/>
      <c r="G47" s="674"/>
      <c r="H47" s="436"/>
      <c r="I47" s="636"/>
      <c r="J47" s="636"/>
      <c r="K47" s="636"/>
      <c r="L47" s="636"/>
      <c r="M47" s="459"/>
      <c r="N47" s="244"/>
      <c r="O47" s="244"/>
      <c r="P47" s="244"/>
      <c r="Q47" s="244"/>
      <c r="R47" s="244"/>
      <c r="S47" s="243"/>
      <c r="T47" s="244"/>
      <c r="U47" s="243"/>
      <c r="V47" s="243"/>
      <c r="W47" s="242"/>
      <c r="X47" s="224"/>
    </row>
    <row r="48" spans="2:34" ht="15" customHeight="1" outlineLevel="1" thickBot="1" x14ac:dyDescent="0.35">
      <c r="B48" s="694"/>
      <c r="C48" s="654" t="s">
        <v>126</v>
      </c>
      <c r="D48" s="655"/>
      <c r="E48" s="656"/>
      <c r="F48" s="657"/>
      <c r="G48" s="675"/>
      <c r="H48" s="401"/>
      <c r="I48" s="658"/>
      <c r="J48" s="658"/>
      <c r="K48" s="658"/>
      <c r="L48" s="658"/>
      <c r="M48" s="460"/>
      <c r="N48" s="244"/>
      <c r="O48" s="244"/>
      <c r="P48" s="244"/>
      <c r="Q48" s="244"/>
      <c r="R48" s="244"/>
      <c r="S48" s="243"/>
      <c r="T48" s="244"/>
      <c r="U48" s="243"/>
      <c r="V48" s="243"/>
      <c r="W48" s="242"/>
      <c r="X48" s="224"/>
    </row>
    <row r="49" spans="1:25" ht="32.25" customHeight="1" thickBot="1" x14ac:dyDescent="0.35">
      <c r="B49" s="329">
        <v>3</v>
      </c>
      <c r="C49" s="681" t="s">
        <v>253</v>
      </c>
      <c r="D49" s="682"/>
      <c r="E49" s="682"/>
      <c r="F49" s="682"/>
      <c r="G49" s="682"/>
      <c r="H49" s="682"/>
      <c r="I49" s="682"/>
      <c r="J49" s="682"/>
      <c r="K49" s="682"/>
      <c r="L49" s="682"/>
      <c r="M49" s="683"/>
      <c r="N49" s="451" t="s">
        <v>36</v>
      </c>
      <c r="O49" s="311" t="s">
        <v>37</v>
      </c>
      <c r="P49" s="312" t="s">
        <v>38</v>
      </c>
      <c r="Q49" s="313" t="s">
        <v>39</v>
      </c>
      <c r="R49" s="314" t="s">
        <v>40</v>
      </c>
      <c r="S49" s="317" t="s">
        <v>41</v>
      </c>
      <c r="T49" s="314" t="s">
        <v>42</v>
      </c>
      <c r="U49" s="317" t="s">
        <v>43</v>
      </c>
      <c r="V49" s="317" t="s">
        <v>44</v>
      </c>
      <c r="W49" s="317" t="s">
        <v>45</v>
      </c>
      <c r="X49" s="315" t="s">
        <v>46</v>
      </c>
    </row>
    <row r="50" spans="1:25" ht="24.75" customHeight="1" outlineLevel="1" x14ac:dyDescent="0.3">
      <c r="B50" s="662" t="s">
        <v>254</v>
      </c>
      <c r="C50" s="376" t="s">
        <v>255</v>
      </c>
      <c r="D50" s="666" t="s">
        <v>256</v>
      </c>
      <c r="E50" s="666"/>
      <c r="F50" s="666"/>
      <c r="G50" s="666"/>
      <c r="H50" s="666"/>
      <c r="I50" s="666"/>
      <c r="J50" s="666"/>
      <c r="K50" s="666"/>
      <c r="L50" s="666"/>
      <c r="M50" s="667"/>
      <c r="N50" s="461" t="s">
        <v>257</v>
      </c>
      <c r="O50" s="198"/>
      <c r="P50" s="258"/>
      <c r="Q50" s="186"/>
      <c r="R50" s="210"/>
      <c r="S50" s="323" t="s">
        <v>149</v>
      </c>
      <c r="T50" s="188" t="s">
        <v>150</v>
      </c>
      <c r="U50" s="188" t="s">
        <v>258</v>
      </c>
      <c r="V50" s="188" t="s">
        <v>259</v>
      </c>
      <c r="W50" s="188" t="s">
        <v>153</v>
      </c>
      <c r="X50" s="191" t="s">
        <v>260</v>
      </c>
    </row>
    <row r="51" spans="1:25" ht="24.75" customHeight="1" outlineLevel="1" x14ac:dyDescent="0.3">
      <c r="B51" s="663"/>
      <c r="C51" s="377" t="s">
        <v>261</v>
      </c>
      <c r="D51" s="640" t="s">
        <v>262</v>
      </c>
      <c r="E51" s="640"/>
      <c r="F51" s="640"/>
      <c r="G51" s="640"/>
      <c r="H51" s="640"/>
      <c r="I51" s="640"/>
      <c r="J51" s="640"/>
      <c r="K51" s="640"/>
      <c r="L51" s="640"/>
      <c r="M51" s="641"/>
      <c r="N51" s="462" t="s">
        <v>263</v>
      </c>
      <c r="O51" s="199"/>
      <c r="P51" s="259"/>
      <c r="Q51" s="166"/>
      <c r="R51" s="200"/>
      <c r="S51" s="319" t="s">
        <v>264</v>
      </c>
      <c r="T51" s="9" t="s">
        <v>247</v>
      </c>
      <c r="U51" s="98" t="s">
        <v>248</v>
      </c>
      <c r="V51" s="98" t="s">
        <v>265</v>
      </c>
      <c r="W51" s="98" t="s">
        <v>134</v>
      </c>
      <c r="X51" s="177" t="s">
        <v>266</v>
      </c>
    </row>
    <row r="52" spans="1:25" ht="24.75" customHeight="1" outlineLevel="1" x14ac:dyDescent="0.3">
      <c r="B52" s="663"/>
      <c r="C52" s="377" t="s">
        <v>267</v>
      </c>
      <c r="D52" s="640" t="s">
        <v>268</v>
      </c>
      <c r="E52" s="640"/>
      <c r="F52" s="640"/>
      <c r="G52" s="640"/>
      <c r="H52" s="640"/>
      <c r="I52" s="640"/>
      <c r="J52" s="640"/>
      <c r="K52" s="640"/>
      <c r="L52" s="640"/>
      <c r="M52" s="641"/>
      <c r="N52" s="462" t="s">
        <v>269</v>
      </c>
      <c r="O52" s="199"/>
      <c r="P52" s="259"/>
      <c r="Q52" s="166"/>
      <c r="R52" s="201"/>
      <c r="S52" s="324" t="s">
        <v>270</v>
      </c>
      <c r="T52" s="98" t="s">
        <v>271</v>
      </c>
      <c r="U52" s="98" t="s">
        <v>248</v>
      </c>
      <c r="V52" s="98" t="s">
        <v>272</v>
      </c>
      <c r="W52" s="98" t="s">
        <v>273</v>
      </c>
      <c r="X52" s="177" t="s">
        <v>266</v>
      </c>
    </row>
    <row r="53" spans="1:25" ht="24.75" customHeight="1" outlineLevel="1" x14ac:dyDescent="0.3">
      <c r="B53" s="663"/>
      <c r="C53" s="377" t="s">
        <v>274</v>
      </c>
      <c r="D53" s="637" t="s">
        <v>275</v>
      </c>
      <c r="E53" s="640"/>
      <c r="F53" s="640"/>
      <c r="G53" s="640"/>
      <c r="H53" s="640"/>
      <c r="I53" s="640"/>
      <c r="J53" s="640"/>
      <c r="K53" s="640"/>
      <c r="L53" s="640"/>
      <c r="M53" s="641"/>
      <c r="N53" s="445" t="s">
        <v>276</v>
      </c>
      <c r="O53" s="199"/>
      <c r="P53" s="259"/>
      <c r="Q53" s="166"/>
      <c r="R53" s="201"/>
      <c r="S53" s="324" t="s">
        <v>277</v>
      </c>
      <c r="T53" s="169" t="s">
        <v>173</v>
      </c>
      <c r="U53" s="170" t="s">
        <v>238</v>
      </c>
      <c r="V53" s="170" t="s">
        <v>278</v>
      </c>
      <c r="W53" s="170" t="s">
        <v>279</v>
      </c>
      <c r="X53" s="177" t="s">
        <v>280</v>
      </c>
    </row>
    <row r="54" spans="1:25" ht="24.75" customHeight="1" outlineLevel="1" x14ac:dyDescent="0.3">
      <c r="B54" s="663"/>
      <c r="C54" s="377" t="s">
        <v>281</v>
      </c>
      <c r="D54" s="637" t="s">
        <v>282</v>
      </c>
      <c r="E54" s="640"/>
      <c r="F54" s="640"/>
      <c r="G54" s="640"/>
      <c r="H54" s="640"/>
      <c r="I54" s="640"/>
      <c r="J54" s="640"/>
      <c r="K54" s="640"/>
      <c r="L54" s="640"/>
      <c r="M54" s="641"/>
      <c r="N54" s="445" t="s">
        <v>283</v>
      </c>
      <c r="O54" s="199"/>
      <c r="P54" s="259"/>
      <c r="Q54" s="166"/>
      <c r="R54" s="201"/>
      <c r="S54" s="324" t="s">
        <v>284</v>
      </c>
      <c r="T54" s="98" t="s">
        <v>285</v>
      </c>
      <c r="U54" s="98" t="s">
        <v>286</v>
      </c>
      <c r="V54" s="170" t="s">
        <v>287</v>
      </c>
      <c r="W54" s="98" t="s">
        <v>288</v>
      </c>
      <c r="X54" s="177" t="s">
        <v>289</v>
      </c>
    </row>
    <row r="55" spans="1:25" ht="24.75" customHeight="1" outlineLevel="1" x14ac:dyDescent="0.3">
      <c r="B55" s="663"/>
      <c r="C55" s="377" t="s">
        <v>290</v>
      </c>
      <c r="D55" s="640" t="s">
        <v>291</v>
      </c>
      <c r="E55" s="640"/>
      <c r="F55" s="640"/>
      <c r="G55" s="640"/>
      <c r="H55" s="640"/>
      <c r="I55" s="640"/>
      <c r="J55" s="640"/>
      <c r="K55" s="640"/>
      <c r="L55" s="640"/>
      <c r="M55" s="641"/>
      <c r="N55" s="462" t="s">
        <v>292</v>
      </c>
      <c r="O55" s="199"/>
      <c r="P55" s="259"/>
      <c r="Q55" s="166"/>
      <c r="R55" s="201"/>
      <c r="S55" s="324" t="s">
        <v>293</v>
      </c>
      <c r="T55" s="9" t="s">
        <v>247</v>
      </c>
      <c r="U55" s="9" t="s">
        <v>248</v>
      </c>
      <c r="V55" s="98" t="s">
        <v>294</v>
      </c>
      <c r="W55" s="98" t="s">
        <v>295</v>
      </c>
      <c r="X55" s="177" t="s">
        <v>296</v>
      </c>
    </row>
    <row r="56" spans="1:25" s="125" customFormat="1" ht="24.75" customHeight="1" outlineLevel="1" x14ac:dyDescent="0.3">
      <c r="A56" s="78"/>
      <c r="B56" s="663"/>
      <c r="C56" s="377" t="s">
        <v>297</v>
      </c>
      <c r="D56" s="637" t="s">
        <v>298</v>
      </c>
      <c r="E56" s="640"/>
      <c r="F56" s="640"/>
      <c r="G56" s="640"/>
      <c r="H56" s="640"/>
      <c r="I56" s="640"/>
      <c r="J56" s="640"/>
      <c r="K56" s="640"/>
      <c r="L56" s="640"/>
      <c r="M56" s="641"/>
      <c r="N56" s="445" t="s">
        <v>299</v>
      </c>
      <c r="O56" s="190"/>
      <c r="P56" s="260"/>
      <c r="Q56" s="190"/>
      <c r="R56" s="211"/>
      <c r="S56" s="324" t="s">
        <v>300</v>
      </c>
      <c r="T56" s="98" t="s">
        <v>301</v>
      </c>
      <c r="U56" s="98" t="s">
        <v>248</v>
      </c>
      <c r="V56" s="98" t="s">
        <v>196</v>
      </c>
      <c r="W56" s="98" t="s">
        <v>302</v>
      </c>
      <c r="X56" s="177" t="s">
        <v>303</v>
      </c>
      <c r="Y56" s="78"/>
    </row>
    <row r="57" spans="1:25" s="125" customFormat="1" ht="24.75" customHeight="1" outlineLevel="1" x14ac:dyDescent="0.3">
      <c r="A57" s="78"/>
      <c r="B57" s="663"/>
      <c r="C57" s="377" t="s">
        <v>304</v>
      </c>
      <c r="D57" s="637" t="s">
        <v>305</v>
      </c>
      <c r="E57" s="638"/>
      <c r="F57" s="638"/>
      <c r="G57" s="638"/>
      <c r="H57" s="638"/>
      <c r="I57" s="638"/>
      <c r="J57" s="638"/>
      <c r="K57" s="638"/>
      <c r="L57" s="638"/>
      <c r="M57" s="639"/>
      <c r="N57" s="445" t="s">
        <v>306</v>
      </c>
      <c r="O57" s="190"/>
      <c r="P57" s="260"/>
      <c r="Q57" s="190"/>
      <c r="R57" s="202"/>
      <c r="S57" s="321" t="s">
        <v>307</v>
      </c>
      <c r="T57" s="98" t="s">
        <v>308</v>
      </c>
      <c r="U57" s="98" t="s">
        <v>248</v>
      </c>
      <c r="V57" s="98" t="s">
        <v>309</v>
      </c>
      <c r="W57" s="98" t="s">
        <v>310</v>
      </c>
      <c r="X57" s="177" t="s">
        <v>311</v>
      </c>
      <c r="Y57" s="78"/>
    </row>
    <row r="58" spans="1:25" s="125" customFormat="1" ht="24.75" customHeight="1" outlineLevel="1" x14ac:dyDescent="0.3">
      <c r="A58" s="78"/>
      <c r="B58" s="663"/>
      <c r="C58" s="377" t="s">
        <v>312</v>
      </c>
      <c r="D58" s="637" t="s">
        <v>313</v>
      </c>
      <c r="E58" s="638"/>
      <c r="F58" s="638"/>
      <c r="G58" s="638"/>
      <c r="H58" s="638"/>
      <c r="I58" s="638"/>
      <c r="J58" s="638"/>
      <c r="K58" s="638"/>
      <c r="L58" s="638"/>
      <c r="M58" s="639"/>
      <c r="N58" s="445" t="s">
        <v>314</v>
      </c>
      <c r="O58" s="190"/>
      <c r="P58" s="260"/>
      <c r="Q58" s="190"/>
      <c r="R58" s="202"/>
      <c r="S58" s="321" t="s">
        <v>315</v>
      </c>
      <c r="T58" s="204" t="s">
        <v>316</v>
      </c>
      <c r="U58" s="170" t="s">
        <v>317</v>
      </c>
      <c r="V58" s="170" t="s">
        <v>318</v>
      </c>
      <c r="W58" s="170" t="s">
        <v>205</v>
      </c>
      <c r="X58" s="205" t="s">
        <v>319</v>
      </c>
      <c r="Y58" s="78"/>
    </row>
    <row r="59" spans="1:25" s="125" customFormat="1" ht="24.75" customHeight="1" outlineLevel="1" x14ac:dyDescent="0.3">
      <c r="A59" s="78"/>
      <c r="B59" s="663"/>
      <c r="C59" s="377" t="s">
        <v>320</v>
      </c>
      <c r="D59" s="637" t="s">
        <v>321</v>
      </c>
      <c r="E59" s="638"/>
      <c r="F59" s="638"/>
      <c r="G59" s="638"/>
      <c r="H59" s="638"/>
      <c r="I59" s="638"/>
      <c r="J59" s="638"/>
      <c r="K59" s="638"/>
      <c r="L59" s="638"/>
      <c r="M59" s="639"/>
      <c r="N59" s="445" t="s">
        <v>322</v>
      </c>
      <c r="O59" s="190"/>
      <c r="P59" s="260"/>
      <c r="Q59" s="190"/>
      <c r="R59" s="202"/>
      <c r="S59" s="321" t="s">
        <v>323</v>
      </c>
      <c r="T59" s="204" t="s">
        <v>324</v>
      </c>
      <c r="U59" s="170" t="s">
        <v>325</v>
      </c>
      <c r="V59" s="170" t="s">
        <v>326</v>
      </c>
      <c r="W59" s="170" t="s">
        <v>327</v>
      </c>
      <c r="X59" s="205" t="s">
        <v>328</v>
      </c>
      <c r="Y59" s="78"/>
    </row>
    <row r="60" spans="1:25" s="125" customFormat="1" ht="24.75" customHeight="1" outlineLevel="1" x14ac:dyDescent="0.3">
      <c r="A60" s="78"/>
      <c r="B60" s="663"/>
      <c r="C60" s="377" t="s">
        <v>329</v>
      </c>
      <c r="D60" s="637" t="s">
        <v>330</v>
      </c>
      <c r="E60" s="640"/>
      <c r="F60" s="640"/>
      <c r="G60" s="640"/>
      <c r="H60" s="640"/>
      <c r="I60" s="640"/>
      <c r="J60" s="640"/>
      <c r="K60" s="640"/>
      <c r="L60" s="640"/>
      <c r="M60" s="641"/>
      <c r="N60" s="445" t="s">
        <v>331</v>
      </c>
      <c r="O60" s="190"/>
      <c r="P60" s="260"/>
      <c r="Q60" s="190"/>
      <c r="R60" s="202"/>
      <c r="S60" s="321" t="s">
        <v>332</v>
      </c>
      <c r="T60" s="170" t="s">
        <v>333</v>
      </c>
      <c r="U60" s="170" t="s">
        <v>334</v>
      </c>
      <c r="V60" s="170" t="s">
        <v>335</v>
      </c>
      <c r="W60" s="170" t="s">
        <v>336</v>
      </c>
      <c r="X60" s="205" t="s">
        <v>337</v>
      </c>
      <c r="Y60" s="78"/>
    </row>
    <row r="61" spans="1:25" s="125" customFormat="1" ht="24.75" customHeight="1" outlineLevel="1" x14ac:dyDescent="0.3">
      <c r="A61" s="78"/>
      <c r="B61" s="663"/>
      <c r="C61" s="377" t="s">
        <v>338</v>
      </c>
      <c r="D61" s="637" t="s">
        <v>339</v>
      </c>
      <c r="E61" s="638"/>
      <c r="F61" s="638"/>
      <c r="G61" s="638"/>
      <c r="H61" s="638"/>
      <c r="I61" s="638"/>
      <c r="J61" s="638"/>
      <c r="K61" s="638"/>
      <c r="L61" s="638"/>
      <c r="M61" s="639"/>
      <c r="N61" s="445" t="s">
        <v>340</v>
      </c>
      <c r="O61" s="190"/>
      <c r="P61" s="260"/>
      <c r="Q61" s="190"/>
      <c r="R61" s="202"/>
      <c r="S61" s="321" t="s">
        <v>341</v>
      </c>
      <c r="T61" s="170" t="s">
        <v>342</v>
      </c>
      <c r="U61" s="170" t="s">
        <v>343</v>
      </c>
      <c r="V61" s="170" t="s">
        <v>344</v>
      </c>
      <c r="W61" s="170" t="s">
        <v>336</v>
      </c>
      <c r="X61" s="205" t="s">
        <v>345</v>
      </c>
      <c r="Y61" s="78"/>
    </row>
    <row r="62" spans="1:25" s="125" customFormat="1" ht="24.75" customHeight="1" outlineLevel="1" x14ac:dyDescent="0.3">
      <c r="A62" s="78"/>
      <c r="B62" s="663"/>
      <c r="C62" s="377" t="s">
        <v>346</v>
      </c>
      <c r="D62" s="637" t="s">
        <v>347</v>
      </c>
      <c r="E62" s="640"/>
      <c r="F62" s="640"/>
      <c r="G62" s="640"/>
      <c r="H62" s="640"/>
      <c r="I62" s="640"/>
      <c r="J62" s="640"/>
      <c r="K62" s="640"/>
      <c r="L62" s="640"/>
      <c r="M62" s="641"/>
      <c r="N62" s="445" t="s">
        <v>348</v>
      </c>
      <c r="O62" s="190"/>
      <c r="P62" s="260"/>
      <c r="Q62" s="190"/>
      <c r="R62" s="202"/>
      <c r="S62" s="321" t="s">
        <v>349</v>
      </c>
      <c r="T62" s="204" t="s">
        <v>316</v>
      </c>
      <c r="U62" s="170" t="s">
        <v>350</v>
      </c>
      <c r="V62" s="170" t="s">
        <v>318</v>
      </c>
      <c r="W62" s="170" t="s">
        <v>205</v>
      </c>
      <c r="X62" s="205" t="s">
        <v>319</v>
      </c>
      <c r="Y62" s="78"/>
    </row>
    <row r="63" spans="1:25" s="125" customFormat="1" ht="24.75" customHeight="1" outlineLevel="1" x14ac:dyDescent="0.3">
      <c r="A63" s="78"/>
      <c r="B63" s="663"/>
      <c r="C63" s="377" t="s">
        <v>351</v>
      </c>
      <c r="D63" s="640" t="s">
        <v>352</v>
      </c>
      <c r="E63" s="640"/>
      <c r="F63" s="640"/>
      <c r="G63" s="640"/>
      <c r="H63" s="640"/>
      <c r="I63" s="640"/>
      <c r="J63" s="640"/>
      <c r="K63" s="640"/>
      <c r="L63" s="640"/>
      <c r="M63" s="641"/>
      <c r="N63" s="463" t="s">
        <v>85</v>
      </c>
      <c r="O63" s="190"/>
      <c r="P63" s="260"/>
      <c r="Q63" s="190"/>
      <c r="R63" s="212"/>
      <c r="S63" s="320" t="s">
        <v>231</v>
      </c>
      <c r="T63" s="183" t="s">
        <v>87</v>
      </c>
      <c r="U63" s="169" t="s">
        <v>114</v>
      </c>
      <c r="V63" s="98" t="s">
        <v>232</v>
      </c>
      <c r="W63" s="98" t="s">
        <v>233</v>
      </c>
      <c r="X63" s="177" t="s">
        <v>53</v>
      </c>
      <c r="Y63" s="78"/>
    </row>
    <row r="64" spans="1:25" ht="24.75" customHeight="1" outlineLevel="1" thickBot="1" x14ac:dyDescent="0.35">
      <c r="B64" s="663"/>
      <c r="C64" s="378" t="s">
        <v>353</v>
      </c>
      <c r="D64" s="652" t="s">
        <v>354</v>
      </c>
      <c r="E64" s="652"/>
      <c r="F64" s="652"/>
      <c r="G64" s="652"/>
      <c r="H64" s="652"/>
      <c r="I64" s="652"/>
      <c r="J64" s="652"/>
      <c r="K64" s="652"/>
      <c r="L64" s="652"/>
      <c r="M64" s="653"/>
      <c r="N64" s="464" t="s">
        <v>355</v>
      </c>
      <c r="O64" s="203"/>
      <c r="P64" s="261"/>
      <c r="Q64" s="203"/>
      <c r="R64" s="213"/>
      <c r="S64" s="325" t="s">
        <v>356</v>
      </c>
      <c r="T64" s="172" t="s">
        <v>173</v>
      </c>
      <c r="U64" s="206" t="s">
        <v>205</v>
      </c>
      <c r="V64" s="206" t="s">
        <v>357</v>
      </c>
      <c r="W64" s="206" t="s">
        <v>336</v>
      </c>
      <c r="X64" s="207" t="s">
        <v>358</v>
      </c>
    </row>
    <row r="65" spans="2:25" ht="30" customHeight="1" outlineLevel="1" thickBot="1" x14ac:dyDescent="0.35">
      <c r="B65" s="663"/>
      <c r="C65" s="572" t="s">
        <v>122</v>
      </c>
      <c r="D65" s="572"/>
      <c r="E65" s="572"/>
      <c r="F65" s="573"/>
      <c r="G65" s="475" t="s">
        <v>123</v>
      </c>
      <c r="H65" s="336"/>
      <c r="I65" s="336"/>
      <c r="J65" s="336"/>
      <c r="K65" s="336"/>
      <c r="L65" s="336"/>
      <c r="M65" s="435"/>
      <c r="N65" s="249"/>
      <c r="O65" s="249"/>
      <c r="P65" s="249"/>
      <c r="Q65" s="249"/>
      <c r="R65" s="249"/>
      <c r="S65" s="249"/>
      <c r="T65" s="245"/>
      <c r="U65" s="246"/>
      <c r="V65" s="246"/>
      <c r="W65" s="246"/>
      <c r="X65" s="251"/>
    </row>
    <row r="66" spans="2:25" ht="15" customHeight="1" outlineLevel="1" x14ac:dyDescent="0.3">
      <c r="B66" s="663"/>
      <c r="C66" s="668" t="s">
        <v>124</v>
      </c>
      <c r="D66" s="669"/>
      <c r="E66" s="576" t="s">
        <v>2</v>
      </c>
      <c r="F66" s="577"/>
      <c r="G66" s="673" t="s">
        <v>134</v>
      </c>
      <c r="H66" s="436"/>
      <c r="I66" s="676"/>
      <c r="J66" s="676"/>
      <c r="K66" s="636"/>
      <c r="L66" s="636"/>
      <c r="M66" s="439"/>
      <c r="N66" s="244"/>
      <c r="O66" s="244"/>
      <c r="P66" s="244"/>
      <c r="Q66" s="243"/>
      <c r="R66" s="244"/>
      <c r="S66" s="243"/>
      <c r="T66" s="244"/>
      <c r="U66" s="243"/>
      <c r="V66" s="243"/>
      <c r="W66" s="242"/>
      <c r="X66" s="224"/>
    </row>
    <row r="67" spans="2:25" ht="15" customHeight="1" outlineLevel="1" x14ac:dyDescent="0.3">
      <c r="B67" s="663"/>
      <c r="C67" s="677" t="s">
        <v>125</v>
      </c>
      <c r="D67" s="678"/>
      <c r="E67" s="679"/>
      <c r="F67" s="680"/>
      <c r="G67" s="674"/>
      <c r="H67" s="436"/>
      <c r="I67" s="636"/>
      <c r="J67" s="636"/>
      <c r="K67" s="636"/>
      <c r="L67" s="636"/>
      <c r="M67" s="459"/>
      <c r="N67" s="244"/>
      <c r="O67" s="244"/>
      <c r="P67" s="244"/>
      <c r="Q67" s="244"/>
      <c r="R67" s="244"/>
      <c r="S67" s="243"/>
      <c r="T67" s="244"/>
      <c r="U67" s="243"/>
      <c r="V67" s="243"/>
      <c r="W67" s="242"/>
      <c r="X67" s="224"/>
    </row>
    <row r="68" spans="2:25" ht="15" customHeight="1" outlineLevel="1" thickBot="1" x14ac:dyDescent="0.35">
      <c r="B68" s="664"/>
      <c r="C68" s="654" t="s">
        <v>126</v>
      </c>
      <c r="D68" s="655"/>
      <c r="E68" s="656"/>
      <c r="F68" s="657"/>
      <c r="G68" s="675"/>
      <c r="H68" s="401"/>
      <c r="I68" s="658"/>
      <c r="J68" s="658"/>
      <c r="K68" s="658"/>
      <c r="L68" s="658"/>
      <c r="M68" s="460"/>
      <c r="N68" s="244"/>
      <c r="O68" s="244"/>
      <c r="P68" s="244"/>
      <c r="Q68" s="244"/>
      <c r="R68" s="244"/>
      <c r="S68" s="243"/>
      <c r="T68" s="244"/>
      <c r="U68" s="243"/>
      <c r="V68" s="243"/>
      <c r="W68" s="242"/>
      <c r="X68" s="224"/>
    </row>
    <row r="69" spans="2:25" ht="35.9" customHeight="1" thickBot="1" x14ac:dyDescent="0.35">
      <c r="B69" s="359" t="s">
        <v>359</v>
      </c>
      <c r="C69" s="659" t="s">
        <v>360</v>
      </c>
      <c r="D69" s="660"/>
      <c r="E69" s="660"/>
      <c r="F69" s="660"/>
      <c r="G69" s="660"/>
      <c r="H69" s="660"/>
      <c r="I69" s="660"/>
      <c r="J69" s="660"/>
      <c r="K69" s="660"/>
      <c r="L69" s="660"/>
      <c r="M69" s="661"/>
      <c r="N69" s="451" t="s">
        <v>36</v>
      </c>
      <c r="O69" s="311" t="s">
        <v>37</v>
      </c>
      <c r="P69" s="312" t="s">
        <v>38</v>
      </c>
      <c r="Q69" s="313" t="s">
        <v>39</v>
      </c>
      <c r="R69" s="314" t="s">
        <v>40</v>
      </c>
      <c r="S69" s="317" t="s">
        <v>41</v>
      </c>
      <c r="T69" s="314" t="s">
        <v>42</v>
      </c>
      <c r="U69" s="317" t="s">
        <v>43</v>
      </c>
      <c r="V69" s="317" t="s">
        <v>44</v>
      </c>
      <c r="W69" s="317" t="s">
        <v>45</v>
      </c>
      <c r="X69" s="315" t="s">
        <v>46</v>
      </c>
    </row>
    <row r="70" spans="2:25" ht="24" customHeight="1" x14ac:dyDescent="0.3">
      <c r="B70" s="662" t="s">
        <v>361</v>
      </c>
      <c r="C70" s="398" t="s">
        <v>362</v>
      </c>
      <c r="D70" s="665" t="s">
        <v>363</v>
      </c>
      <c r="E70" s="666"/>
      <c r="F70" s="666"/>
      <c r="G70" s="666"/>
      <c r="H70" s="666"/>
      <c r="I70" s="666"/>
      <c r="J70" s="666"/>
      <c r="K70" s="666"/>
      <c r="L70" s="666"/>
      <c r="M70" s="667"/>
      <c r="N70" s="642" t="s">
        <v>364</v>
      </c>
      <c r="O70" s="268"/>
      <c r="P70" s="194"/>
      <c r="Q70" s="192"/>
      <c r="R70" s="270"/>
      <c r="S70" s="645" t="s">
        <v>365</v>
      </c>
      <c r="T70" s="273" t="s">
        <v>366</v>
      </c>
      <c r="U70" s="273" t="s">
        <v>367</v>
      </c>
      <c r="V70" s="273" t="s">
        <v>368</v>
      </c>
      <c r="W70" s="648" t="s">
        <v>369</v>
      </c>
      <c r="X70" s="274" t="s">
        <v>370</v>
      </c>
    </row>
    <row r="71" spans="2:25" ht="24" customHeight="1" x14ac:dyDescent="0.3">
      <c r="B71" s="663"/>
      <c r="C71" s="360" t="s">
        <v>371</v>
      </c>
      <c r="D71" s="637" t="s">
        <v>372</v>
      </c>
      <c r="E71" s="640"/>
      <c r="F71" s="640"/>
      <c r="G71" s="640"/>
      <c r="H71" s="640"/>
      <c r="I71" s="640"/>
      <c r="J71" s="640"/>
      <c r="K71" s="640"/>
      <c r="L71" s="640"/>
      <c r="M71" s="641"/>
      <c r="N71" s="643"/>
      <c r="O71" s="174"/>
      <c r="P71" s="164"/>
      <c r="Q71" s="167"/>
      <c r="R71" s="271"/>
      <c r="S71" s="646"/>
      <c r="T71" s="170" t="s">
        <v>373</v>
      </c>
      <c r="U71" s="170" t="s">
        <v>374</v>
      </c>
      <c r="V71" s="170" t="s">
        <v>375</v>
      </c>
      <c r="W71" s="649"/>
      <c r="X71" s="205" t="s">
        <v>376</v>
      </c>
    </row>
    <row r="72" spans="2:25" ht="34.5" customHeight="1" thickBot="1" x14ac:dyDescent="0.35">
      <c r="B72" s="663"/>
      <c r="C72" s="399" t="s">
        <v>377</v>
      </c>
      <c r="D72" s="651" t="s">
        <v>378</v>
      </c>
      <c r="E72" s="652"/>
      <c r="F72" s="652"/>
      <c r="G72" s="652"/>
      <c r="H72" s="652"/>
      <c r="I72" s="652"/>
      <c r="J72" s="652"/>
      <c r="K72" s="652"/>
      <c r="L72" s="652"/>
      <c r="M72" s="653"/>
      <c r="N72" s="644"/>
      <c r="O72" s="269"/>
      <c r="P72" s="193"/>
      <c r="Q72" s="171"/>
      <c r="R72" s="272"/>
      <c r="S72" s="647"/>
      <c r="T72" s="208" t="s">
        <v>114</v>
      </c>
      <c r="U72" s="206" t="s">
        <v>379</v>
      </c>
      <c r="V72" s="206" t="s">
        <v>380</v>
      </c>
      <c r="W72" s="650"/>
      <c r="X72" s="207" t="s">
        <v>381</v>
      </c>
      <c r="Y72" s="3" t="s">
        <v>158</v>
      </c>
    </row>
    <row r="73" spans="2:25" ht="36" customHeight="1" thickBot="1" x14ac:dyDescent="0.35">
      <c r="B73" s="663"/>
      <c r="C73" s="572" t="s">
        <v>122</v>
      </c>
      <c r="D73" s="572"/>
      <c r="E73" s="572"/>
      <c r="F73" s="573"/>
      <c r="G73" s="474" t="s">
        <v>123</v>
      </c>
      <c r="H73" s="400"/>
      <c r="I73" s="400"/>
      <c r="J73" s="400"/>
      <c r="K73" s="400"/>
      <c r="L73" s="400"/>
      <c r="M73" s="458"/>
      <c r="N73" s="262"/>
      <c r="O73" s="262"/>
      <c r="P73" s="262"/>
      <c r="Q73" s="262"/>
      <c r="R73" s="262"/>
      <c r="S73" s="262"/>
      <c r="T73" s="263"/>
      <c r="U73" s="238"/>
      <c r="V73" s="238"/>
      <c r="W73" s="238"/>
      <c r="X73" s="39"/>
    </row>
    <row r="74" spans="2:25" ht="15" customHeight="1" x14ac:dyDescent="0.3">
      <c r="B74" s="663"/>
      <c r="C74" s="668" t="s">
        <v>124</v>
      </c>
      <c r="D74" s="669"/>
      <c r="E74" s="576" t="s">
        <v>2</v>
      </c>
      <c r="F74" s="577"/>
      <c r="G74" s="670" t="s">
        <v>114</v>
      </c>
      <c r="H74" s="436"/>
      <c r="I74" s="676"/>
      <c r="J74" s="676"/>
      <c r="K74" s="636"/>
      <c r="L74" s="636"/>
      <c r="M74" s="439"/>
      <c r="N74" s="244"/>
      <c r="O74" s="244"/>
      <c r="P74" s="244"/>
      <c r="Q74" s="243"/>
      <c r="R74" s="244"/>
      <c r="S74" s="243"/>
      <c r="T74" s="244"/>
      <c r="U74" s="243"/>
      <c r="V74" s="243"/>
      <c r="W74" s="242"/>
      <c r="X74" s="224"/>
    </row>
    <row r="75" spans="2:25" ht="15" customHeight="1" x14ac:dyDescent="0.3">
      <c r="B75" s="663"/>
      <c r="C75" s="677" t="s">
        <v>125</v>
      </c>
      <c r="D75" s="678"/>
      <c r="E75" s="679"/>
      <c r="F75" s="680"/>
      <c r="G75" s="671"/>
      <c r="H75" s="436"/>
      <c r="I75" s="636"/>
      <c r="J75" s="636"/>
      <c r="K75" s="636"/>
      <c r="L75" s="636"/>
      <c r="M75" s="459"/>
      <c r="N75" s="244"/>
      <c r="O75" s="244"/>
      <c r="P75" s="244"/>
      <c r="Q75" s="244"/>
      <c r="R75" s="244"/>
      <c r="S75" s="243"/>
      <c r="T75" s="244"/>
      <c r="U75" s="243"/>
      <c r="V75" s="243"/>
      <c r="W75" s="242"/>
      <c r="X75" s="224"/>
    </row>
    <row r="76" spans="2:25" ht="15" customHeight="1" thickBot="1" x14ac:dyDescent="0.35">
      <c r="B76" s="664"/>
      <c r="C76" s="654" t="s">
        <v>126</v>
      </c>
      <c r="D76" s="655"/>
      <c r="E76" s="656"/>
      <c r="F76" s="657"/>
      <c r="G76" s="672"/>
      <c r="H76" s="401"/>
      <c r="I76" s="658"/>
      <c r="J76" s="658"/>
      <c r="K76" s="658"/>
      <c r="L76" s="658"/>
      <c r="M76" s="460"/>
      <c r="N76" s="265"/>
      <c r="O76" s="265"/>
      <c r="P76" s="265"/>
      <c r="Q76" s="265"/>
      <c r="R76" s="265"/>
      <c r="S76" s="266"/>
      <c r="T76" s="265"/>
      <c r="U76" s="266"/>
      <c r="V76" s="266"/>
      <c r="W76" s="264"/>
      <c r="X76" s="71"/>
    </row>
    <row r="77" spans="2:25" ht="15" customHeight="1" x14ac:dyDescent="0.45"/>
    <row r="78" spans="2:25" ht="15" customHeight="1" x14ac:dyDescent="0.45">
      <c r="T78" s="24" t="s">
        <v>158</v>
      </c>
    </row>
    <row r="79" spans="2:25" ht="15" customHeight="1" x14ac:dyDescent="0.45"/>
    <row r="80" spans="2:25" ht="15" customHeight="1" x14ac:dyDescent="0.45"/>
    <row r="81" spans="12:12" ht="15" customHeight="1" x14ac:dyDescent="0.45">
      <c r="L81" s="346" t="s">
        <v>158</v>
      </c>
    </row>
    <row r="82" spans="12:12" ht="15" customHeight="1" x14ac:dyDescent="0.45"/>
    <row r="83" spans="12:12" ht="15" customHeight="1" x14ac:dyDescent="0.45"/>
    <row r="84" spans="12:12" ht="15" customHeight="1" x14ac:dyDescent="0.45"/>
    <row r="85" spans="12:12" ht="15" customHeight="1" x14ac:dyDescent="0.45"/>
    <row r="86" spans="12:12" ht="15" customHeight="1" x14ac:dyDescent="0.45"/>
    <row r="87" spans="12:12" ht="15" customHeight="1" x14ac:dyDescent="0.45"/>
    <row r="88" spans="12:12" ht="15" customHeight="1" x14ac:dyDescent="0.45"/>
    <row r="89" spans="12:12" ht="15" customHeight="1" x14ac:dyDescent="0.45"/>
    <row r="90" spans="12:12" ht="15" customHeight="1" x14ac:dyDescent="0.45"/>
    <row r="91" spans="12:12" ht="15" customHeight="1" x14ac:dyDescent="0.45"/>
    <row r="92" spans="12:12" ht="15" customHeight="1" x14ac:dyDescent="0.45"/>
    <row r="93" spans="12:12" ht="15" customHeight="1" x14ac:dyDescent="0.45"/>
    <row r="94" spans="12:12" ht="15" customHeight="1" x14ac:dyDescent="0.45"/>
    <row r="95" spans="12:12" ht="15" customHeight="1" x14ac:dyDescent="0.45"/>
    <row r="96" spans="12:12" ht="15" customHeight="1" x14ac:dyDescent="0.45"/>
    <row r="97" ht="15" customHeight="1" x14ac:dyDescent="0.45"/>
    <row r="98" ht="15" customHeight="1" x14ac:dyDescent="0.45"/>
    <row r="99" ht="15" customHeight="1" x14ac:dyDescent="0.45"/>
    <row r="100" ht="15" customHeight="1" x14ac:dyDescent="0.45"/>
    <row r="101" ht="15" customHeight="1" x14ac:dyDescent="0.45"/>
    <row r="102" ht="15" customHeight="1" x14ac:dyDescent="0.45"/>
    <row r="103" ht="15" customHeight="1" x14ac:dyDescent="0.45"/>
    <row r="104" ht="15" customHeight="1" x14ac:dyDescent="0.45"/>
    <row r="105" ht="15" customHeight="1" x14ac:dyDescent="0.45"/>
    <row r="106" ht="15" customHeight="1" x14ac:dyDescent="0.45"/>
    <row r="107" ht="15" customHeight="1" x14ac:dyDescent="0.45"/>
    <row r="108" ht="15" customHeight="1" x14ac:dyDescent="0.45"/>
    <row r="109" ht="15" customHeight="1" x14ac:dyDescent="0.45"/>
    <row r="110" ht="15" customHeight="1" x14ac:dyDescent="0.45"/>
    <row r="111" ht="15" customHeight="1" x14ac:dyDescent="0.45"/>
    <row r="112" ht="15" customHeight="1" x14ac:dyDescent="0.45"/>
    <row r="113" ht="15" customHeight="1" x14ac:dyDescent="0.45"/>
    <row r="114" ht="15" customHeight="1" x14ac:dyDescent="0.45"/>
    <row r="115" ht="15" customHeight="1" x14ac:dyDescent="0.45"/>
    <row r="116" ht="15" customHeight="1" x14ac:dyDescent="0.45"/>
    <row r="117" ht="15" customHeight="1" x14ac:dyDescent="0.45"/>
    <row r="118" ht="15" customHeight="1" x14ac:dyDescent="0.45"/>
    <row r="119" ht="15" customHeight="1" x14ac:dyDescent="0.45"/>
    <row r="120" ht="15" customHeight="1" x14ac:dyDescent="0.45"/>
    <row r="121" ht="15" customHeight="1" x14ac:dyDescent="0.45"/>
    <row r="122" ht="15" customHeight="1" x14ac:dyDescent="0.45"/>
    <row r="123" ht="15" customHeight="1" x14ac:dyDescent="0.45"/>
    <row r="124" ht="15" customHeight="1" x14ac:dyDescent="0.45"/>
    <row r="125" ht="15" customHeight="1" x14ac:dyDescent="0.45"/>
    <row r="126" ht="15" customHeight="1" x14ac:dyDescent="0.45"/>
    <row r="127" ht="15" customHeight="1" x14ac:dyDescent="0.45"/>
    <row r="128" ht="15" customHeight="1" x14ac:dyDescent="0.45"/>
    <row r="129" ht="15" customHeight="1" x14ac:dyDescent="0.45"/>
    <row r="130" ht="15" customHeight="1" x14ac:dyDescent="0.45"/>
    <row r="131" ht="15" customHeight="1" x14ac:dyDescent="0.45"/>
    <row r="132" ht="15" customHeight="1" x14ac:dyDescent="0.45"/>
    <row r="133" ht="15" customHeight="1" x14ac:dyDescent="0.45"/>
    <row r="134" ht="15" customHeight="1" x14ac:dyDescent="0.45"/>
    <row r="135" ht="15" customHeight="1" x14ac:dyDescent="0.45"/>
    <row r="136" ht="15" customHeight="1" x14ac:dyDescent="0.45"/>
    <row r="137" ht="15" customHeight="1" x14ac:dyDescent="0.45"/>
    <row r="138" ht="15" customHeight="1" x14ac:dyDescent="0.45"/>
    <row r="139" ht="15" customHeight="1" x14ac:dyDescent="0.45"/>
    <row r="140" ht="15" customHeight="1" x14ac:dyDescent="0.45"/>
    <row r="141" ht="15" customHeight="1" x14ac:dyDescent="0.45"/>
  </sheetData>
  <mergeCells count="126">
    <mergeCell ref="B13:B27"/>
    <mergeCell ref="D13:M13"/>
    <mergeCell ref="D14:M14"/>
    <mergeCell ref="D15:M15"/>
    <mergeCell ref="D16:M16"/>
    <mergeCell ref="D17:M17"/>
    <mergeCell ref="D18:M18"/>
    <mergeCell ref="D19:M19"/>
    <mergeCell ref="D20:M20"/>
    <mergeCell ref="D21:M21"/>
    <mergeCell ref="D22:M22"/>
    <mergeCell ref="E3:O4"/>
    <mergeCell ref="T3:X11"/>
    <mergeCell ref="R5:S5"/>
    <mergeCell ref="R6:S11"/>
    <mergeCell ref="C12:M12"/>
    <mergeCell ref="K26:L26"/>
    <mergeCell ref="C27:D27"/>
    <mergeCell ref="E27:F27"/>
    <mergeCell ref="I27:J27"/>
    <mergeCell ref="K27:L27"/>
    <mergeCell ref="H7:J7"/>
    <mergeCell ref="H8:J8"/>
    <mergeCell ref="H9:J9"/>
    <mergeCell ref="H10:J10"/>
    <mergeCell ref="D6:F6"/>
    <mergeCell ref="D7:F7"/>
    <mergeCell ref="D8:F8"/>
    <mergeCell ref="D9:F9"/>
    <mergeCell ref="D10:F10"/>
    <mergeCell ref="H6:J6"/>
    <mergeCell ref="C28:M28"/>
    <mergeCell ref="D23:M23"/>
    <mergeCell ref="C24:F24"/>
    <mergeCell ref="C25:D25"/>
    <mergeCell ref="E25:F25"/>
    <mergeCell ref="G25:G27"/>
    <mergeCell ref="I25:J25"/>
    <mergeCell ref="K25:L25"/>
    <mergeCell ref="C26:D26"/>
    <mergeCell ref="E26:F26"/>
    <mergeCell ref="I26:J26"/>
    <mergeCell ref="D38:M38"/>
    <mergeCell ref="D39:M39"/>
    <mergeCell ref="D40:M40"/>
    <mergeCell ref="D41:M41"/>
    <mergeCell ref="D42:M42"/>
    <mergeCell ref="D43:M43"/>
    <mergeCell ref="B29:B48"/>
    <mergeCell ref="D29:M29"/>
    <mergeCell ref="D30:M30"/>
    <mergeCell ref="D31:M31"/>
    <mergeCell ref="D32:M32"/>
    <mergeCell ref="D33:M33"/>
    <mergeCell ref="D34:M34"/>
    <mergeCell ref="D35:M35"/>
    <mergeCell ref="D36:M36"/>
    <mergeCell ref="D37:M37"/>
    <mergeCell ref="K47:L47"/>
    <mergeCell ref="C48:D48"/>
    <mergeCell ref="E48:F48"/>
    <mergeCell ref="I48:J48"/>
    <mergeCell ref="K48:L48"/>
    <mergeCell ref="C49:M49"/>
    <mergeCell ref="D44:M44"/>
    <mergeCell ref="C45:F45"/>
    <mergeCell ref="C46:D46"/>
    <mergeCell ref="E46:F46"/>
    <mergeCell ref="G46:G48"/>
    <mergeCell ref="I46:J46"/>
    <mergeCell ref="K46:L46"/>
    <mergeCell ref="C47:D47"/>
    <mergeCell ref="E47:F47"/>
    <mergeCell ref="I47:J47"/>
    <mergeCell ref="B50:B68"/>
    <mergeCell ref="D50:M50"/>
    <mergeCell ref="D51:M51"/>
    <mergeCell ref="D52:M52"/>
    <mergeCell ref="D53:M53"/>
    <mergeCell ref="D54:M54"/>
    <mergeCell ref="D55:M55"/>
    <mergeCell ref="D56:M56"/>
    <mergeCell ref="D57:M57"/>
    <mergeCell ref="D58:M58"/>
    <mergeCell ref="B70:B76"/>
    <mergeCell ref="D70:M70"/>
    <mergeCell ref="C74:D74"/>
    <mergeCell ref="E74:F74"/>
    <mergeCell ref="G74:G76"/>
    <mergeCell ref="C65:F65"/>
    <mergeCell ref="C66:D66"/>
    <mergeCell ref="E66:F66"/>
    <mergeCell ref="G66:G68"/>
    <mergeCell ref="I66:J66"/>
    <mergeCell ref="K66:L66"/>
    <mergeCell ref="C67:D67"/>
    <mergeCell ref="E67:F67"/>
    <mergeCell ref="I67:J67"/>
    <mergeCell ref="K67:L67"/>
    <mergeCell ref="C76:D76"/>
    <mergeCell ref="E76:F76"/>
    <mergeCell ref="I76:J76"/>
    <mergeCell ref="K76:L76"/>
    <mergeCell ref="I74:J74"/>
    <mergeCell ref="K74:L74"/>
    <mergeCell ref="C75:D75"/>
    <mergeCell ref="E75:F75"/>
    <mergeCell ref="I75:J75"/>
    <mergeCell ref="K75:L75"/>
    <mergeCell ref="D59:M59"/>
    <mergeCell ref="D60:M60"/>
    <mergeCell ref="D61:M61"/>
    <mergeCell ref="D62:M62"/>
    <mergeCell ref="N70:N72"/>
    <mergeCell ref="S70:S72"/>
    <mergeCell ref="W70:W72"/>
    <mergeCell ref="D71:M71"/>
    <mergeCell ref="D72:M72"/>
    <mergeCell ref="C73:F73"/>
    <mergeCell ref="C68:D68"/>
    <mergeCell ref="E68:F68"/>
    <mergeCell ref="I68:J68"/>
    <mergeCell ref="K68:L68"/>
    <mergeCell ref="C69:M69"/>
    <mergeCell ref="D63:M63"/>
    <mergeCell ref="D64:M64"/>
  </mergeCells>
  <conditionalFormatting sqref="C23 N29 C29:D31 Q29:X31 E30:N31 R32:X32 D32:N36 Q32:Q36 C32:C44 R33 W33:X33 R34:X36 D37:M37 T37:W37 U41:X41 D42:N42 Q42:R42 U42 D43:M43 Q43 T43:X43 C50:M50 T50 N50:N51 Q50:S51 U50:X52 D51:M51 C51:C64 T53:T54 D53:M56 N53:N63 Q53:Q63 V55:X55 R55:S62 T56:T57 U56:X62 O56:P63 D57:D62 T60:T61 R63 D63:M64 T64 C70:N70 Q70:S70 U70:X70 T70:T71 D71:M71 C72 Q72:R72 U72:V72 X72">
    <cfRule type="expression" dxfId="138" priority="45" stopIfTrue="1">
      <formula>($O$9="Non-Automotive")</formula>
    </cfRule>
  </conditionalFormatting>
  <conditionalFormatting sqref="E25:F25">
    <cfRule type="containsText" dxfId="134" priority="13" operator="containsText" text="Conditional Approved">
      <formula>NOT(ISERROR(SEARCH("Conditional Approved",E25)))</formula>
    </cfRule>
    <cfRule type="containsText" dxfId="133" priority="14" operator="containsText" text="Rejected">
      <formula>NOT(ISERROR(SEARCH("Rejected",E25)))</formula>
    </cfRule>
    <cfRule type="containsText" dxfId="132" priority="15" operator="containsText" text="Approved">
      <formula>NOT(ISERROR(SEARCH("Approved",E25)))</formula>
    </cfRule>
    <cfRule type="containsText" dxfId="131" priority="16" operator="containsText" text="Completed">
      <formula>NOT(ISERROR(SEARCH("Completed",E25)))</formula>
    </cfRule>
    <cfRule type="containsText" dxfId="130" priority="17" operator="containsText" text="Launched">
      <formula>NOT(ISERROR(SEARCH("Launched",E25)))</formula>
    </cfRule>
    <cfRule type="containsText" dxfId="129" priority="18" operator="containsText" text="Not started">
      <formula>NOT(ISERROR(SEARCH("Not started",E25)))</formula>
    </cfRule>
  </conditionalFormatting>
  <conditionalFormatting sqref="E46:F46">
    <cfRule type="containsText" dxfId="128" priority="19" operator="containsText" text="Conditional Approved">
      <formula>NOT(ISERROR(SEARCH("Conditional Approved",E46)))</formula>
    </cfRule>
    <cfRule type="containsText" dxfId="127" priority="26" operator="containsText" text="Rejected">
      <formula>NOT(ISERROR(SEARCH("Rejected",E46)))</formula>
    </cfRule>
    <cfRule type="containsText" dxfId="126" priority="27" operator="containsText" text="Approved">
      <formula>NOT(ISERROR(SEARCH("Approved",E46)))</formula>
    </cfRule>
    <cfRule type="containsText" dxfId="125" priority="28" operator="containsText" text="Completed">
      <formula>NOT(ISERROR(SEARCH("Completed",E46)))</formula>
    </cfRule>
    <cfRule type="containsText" dxfId="124" priority="29" operator="containsText" text="Launched">
      <formula>NOT(ISERROR(SEARCH("Launched",E46)))</formula>
    </cfRule>
    <cfRule type="containsText" dxfId="123" priority="30" operator="containsText" text="Not started">
      <formula>NOT(ISERROR(SEARCH("Not started",E46)))</formula>
    </cfRule>
  </conditionalFormatting>
  <conditionalFormatting sqref="E66:F66">
    <cfRule type="containsText" dxfId="122" priority="7" operator="containsText" text="Conditional Approved">
      <formula>NOT(ISERROR(SEARCH("Conditional Approved",E66)))</formula>
    </cfRule>
    <cfRule type="containsText" dxfId="121" priority="8" operator="containsText" text="Rejected">
      <formula>NOT(ISERROR(SEARCH("Rejected",E66)))</formula>
    </cfRule>
    <cfRule type="containsText" dxfId="120" priority="9" operator="containsText" text="Approved">
      <formula>NOT(ISERROR(SEARCH("Approved",E66)))</formula>
    </cfRule>
    <cfRule type="containsText" dxfId="119" priority="10" operator="containsText" text="Completed">
      <formula>NOT(ISERROR(SEARCH("Completed",E66)))</formula>
    </cfRule>
    <cfRule type="containsText" dxfId="118" priority="11" operator="containsText" text="Launched">
      <formula>NOT(ISERROR(SEARCH("Launched",E66)))</formula>
    </cfRule>
    <cfRule type="containsText" dxfId="117" priority="12" operator="containsText" text="Not started">
      <formula>NOT(ISERROR(SEARCH("Not started",E66)))</formula>
    </cfRule>
  </conditionalFormatting>
  <conditionalFormatting sqref="E74:F74">
    <cfRule type="containsText" dxfId="116" priority="1" operator="containsText" text="Conditional Approved">
      <formula>NOT(ISERROR(SEARCH("Conditional Approved",E74)))</formula>
    </cfRule>
    <cfRule type="containsText" dxfId="115" priority="2" operator="containsText" text="Rejected">
      <formula>NOT(ISERROR(SEARCH("Rejected",E74)))</formula>
    </cfRule>
    <cfRule type="containsText" dxfId="114" priority="3" operator="containsText" text="Approved">
      <formula>NOT(ISERROR(SEARCH("Approved",E74)))</formula>
    </cfRule>
    <cfRule type="containsText" dxfId="113" priority="4" operator="containsText" text="Completed">
      <formula>NOT(ISERROR(SEARCH("Completed",E74)))</formula>
    </cfRule>
    <cfRule type="containsText" dxfId="112" priority="5" operator="containsText" text="Launched">
      <formula>NOT(ISERROR(SEARCH("Launched",E74)))</formula>
    </cfRule>
    <cfRule type="containsText" dxfId="111" priority="6" operator="containsText" text="Not started">
      <formula>NOT(ISERROR(SEARCH("Not started",E74)))</formula>
    </cfRule>
  </conditionalFormatting>
  <conditionalFormatting sqref="U63">
    <cfRule type="expression" dxfId="110" priority="41" stopIfTrue="1">
      <formula>($O$9="Non-Automotive")</formula>
    </cfRule>
  </conditionalFormatting>
  <dataValidations count="2">
    <dataValidation allowBlank="1" showInputMessage="1" showErrorMessage="1" sqref="O7:O10 Q2:Q11 Q77:Q1048576" xr:uid="{BCFA4D20-5E4D-4916-B76C-1307FE9AE665}"/>
    <dataValidation type="list" allowBlank="1" showInputMessage="1" showErrorMessage="1" sqref="E66:F66 E25:F25 E46:F46 E74:F74" xr:uid="{FD753983-5626-4303-A318-0B4BA576BCBA}">
      <formula1>$Y$3:$Y$8</formula1>
    </dataValidation>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rowBreaks count="1" manualBreakCount="1">
    <brk id="48" min="1" max="25" man="1"/>
  </rowBreaks>
  <drawing r:id="rId2"/>
  <extLst>
    <ext xmlns:x14="http://schemas.microsoft.com/office/spreadsheetml/2009/9/main" uri="{78C0D931-6437-407d-A8EE-F0AAD7539E65}">
      <x14:conditionalFormattings>
        <x14:conditionalFormatting xmlns:xm="http://schemas.microsoft.com/office/excel/2006/main">
          <x14:cfRule type="containsText" priority="43" stopIfTrue="1" operator="containsText" id="{38C17476-0058-4449-A109-AE29038E0346}">
            <xm:f>NOT(ISERROR(SEARCH($Z$3,E25)))</xm:f>
            <xm:f>$Z$3</xm:f>
            <x14:dxf>
              <fill>
                <patternFill>
                  <bgColor rgb="FFFFCCCC"/>
                </patternFill>
              </fill>
            </x14:dxf>
          </x14:cfRule>
          <x14:cfRule type="containsText" priority="44" stopIfTrue="1" operator="containsText" id="{2992A87C-64ED-42E3-9AC4-7BACB3B248A5}">
            <xm:f>NOT(ISERROR(SEARCH(#REF!,E25)))</xm:f>
            <xm:f>#REF!</xm:f>
            <x14:dxf>
              <fill>
                <patternFill>
                  <bgColor theme="9" tint="0.39994506668294322"/>
                </patternFill>
              </fill>
            </x14:dxf>
          </x14:cfRule>
          <xm:sqref>E25 E46 E66 E74</xm:sqref>
        </x14:conditionalFormatting>
        <x14:conditionalFormatting xmlns:xm="http://schemas.microsoft.com/office/excel/2006/main">
          <x14:cfRule type="containsText" priority="42" stopIfTrue="1" operator="containsText" id="{41890A6E-7C9F-46B5-88B8-C6DBA96E719D}">
            <xm:f>NOT(ISERROR(SEARCH($Z$4,E25)))</xm:f>
            <xm:f>$Z$4</xm:f>
            <x14:dxf>
              <fill>
                <patternFill>
                  <bgColor rgb="FFFFFF99"/>
                </patternFill>
              </fill>
            </x14:dxf>
          </x14:cfRule>
          <xm:sqref>E46 E25 E66 E74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F97A-4313-404D-80F1-7DAEF18E8A88}">
  <sheetPr codeName="Hoja3"/>
  <dimension ref="A1"/>
  <sheetViews>
    <sheetView showGridLines="0" workbookViewId="0">
      <selection activeCell="F10" sqref="F10"/>
    </sheetView>
  </sheetViews>
  <sheetFormatPr baseColWidth="10" defaultColWidth="8.81640625" defaultRowHeight="14.5" x14ac:dyDescent="0.35"/>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565C-CEE3-4034-9426-23E9352319D7}">
  <sheetPr codeName="Hoja4"/>
  <dimension ref="A1"/>
  <sheetViews>
    <sheetView showGridLines="0" workbookViewId="0">
      <selection activeCell="T11" sqref="T11"/>
    </sheetView>
  </sheetViews>
  <sheetFormatPr baseColWidth="10" defaultColWidth="8.81640625" defaultRowHeight="14.5" x14ac:dyDescent="0.35"/>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7A0A5-5997-4D20-A863-80D53C649373}">
  <sheetPr codeName="Hoja5">
    <outlinePr summaryBelow="0" summaryRight="0"/>
    <pageSetUpPr fitToPage="1"/>
  </sheetPr>
  <dimension ref="A1:AT141"/>
  <sheetViews>
    <sheetView showGridLines="0" tabSelected="1" topLeftCell="A22" zoomScale="64" zoomScaleNormal="55" zoomScaleSheetLayoutView="40" zoomScalePageLayoutView="55" workbookViewId="0">
      <selection activeCell="O29" sqref="O29"/>
    </sheetView>
  </sheetViews>
  <sheetFormatPr baseColWidth="10" defaultColWidth="0" defaultRowHeight="0" customHeight="1" zeroHeight="1" outlineLevelRow="1" outlineLevelCol="1" x14ac:dyDescent="0.3"/>
  <cols>
    <col min="1" max="1" width="4.453125" style="3" customWidth="1"/>
    <col min="2" max="2" width="10.54296875" style="3" customWidth="1"/>
    <col min="3" max="5" width="10" style="3" customWidth="1"/>
    <col min="6" max="6" width="12.1796875" style="3" customWidth="1"/>
    <col min="7" max="7" width="26.81640625" style="3" customWidth="1"/>
    <col min="8" max="8" width="10" style="3" customWidth="1"/>
    <col min="9" max="9" width="8.1796875" style="3" customWidth="1"/>
    <col min="10" max="10" width="9.1796875" style="3" customWidth="1"/>
    <col min="11" max="11" width="7.453125" style="3" customWidth="1"/>
    <col min="12" max="12" width="24.453125" style="3" customWidth="1"/>
    <col min="13" max="13" width="7.54296875" style="3" customWidth="1"/>
    <col min="14" max="14" width="48.1796875" style="3" customWidth="1" outlineLevel="1"/>
    <col min="15" max="19" width="35.81640625" style="24" customWidth="1" outlineLevel="1"/>
    <col min="20" max="20" width="4.1796875" style="3" customWidth="1" collapsed="1"/>
    <col min="21" max="21" width="20.1796875" style="123" hidden="1" customWidth="1"/>
    <col min="22" max="22" width="12.54296875" style="123" hidden="1" customWidth="1"/>
    <col min="23" max="27" width="11.54296875" style="123" hidden="1" customWidth="1"/>
    <col min="28" max="46" width="0" style="123" hidden="1" customWidth="1"/>
    <col min="47" max="16384" width="11.54296875" style="123" hidden="1"/>
  </cols>
  <sheetData>
    <row r="1" spans="2:29" ht="15" customHeight="1" x14ac:dyDescent="0.3"/>
    <row r="2" spans="2:29" ht="15" customHeight="1" thickBot="1" x14ac:dyDescent="0.35"/>
    <row r="3" spans="2:29" ht="15" customHeight="1" x14ac:dyDescent="0.3">
      <c r="B3" s="554" t="s">
        <v>0</v>
      </c>
      <c r="C3" s="555"/>
      <c r="D3" s="555"/>
      <c r="E3" s="555"/>
      <c r="F3" s="555"/>
      <c r="G3" s="555"/>
      <c r="H3" s="555"/>
      <c r="I3" s="555"/>
      <c r="J3" s="555"/>
      <c r="K3" s="555"/>
      <c r="L3" s="555"/>
      <c r="M3" s="555"/>
      <c r="N3" s="555"/>
      <c r="O3" s="622" t="s">
        <v>382</v>
      </c>
      <c r="P3" s="623"/>
      <c r="Q3" s="623"/>
      <c r="R3" s="623"/>
      <c r="S3" s="624"/>
      <c r="U3" s="123" t="s">
        <v>3</v>
      </c>
      <c r="V3" s="123" t="s">
        <v>4</v>
      </c>
      <c r="W3" s="123" t="s">
        <v>5</v>
      </c>
      <c r="Y3" s="123" t="s">
        <v>6</v>
      </c>
      <c r="AA3" s="123" t="s">
        <v>6</v>
      </c>
    </row>
    <row r="4" spans="2:29" ht="32.15" customHeight="1" thickBot="1" x14ac:dyDescent="0.35">
      <c r="B4" s="556"/>
      <c r="C4" s="557"/>
      <c r="D4" s="557"/>
      <c r="E4" s="557"/>
      <c r="F4" s="557"/>
      <c r="G4" s="557"/>
      <c r="H4" s="557"/>
      <c r="I4" s="557"/>
      <c r="J4" s="557"/>
      <c r="K4" s="557"/>
      <c r="L4" s="557"/>
      <c r="M4" s="557"/>
      <c r="N4" s="557"/>
      <c r="O4" s="625"/>
      <c r="P4" s="626"/>
      <c r="Q4" s="626"/>
      <c r="R4" s="626"/>
      <c r="S4" s="627"/>
      <c r="U4" s="123" t="s">
        <v>8</v>
      </c>
      <c r="V4" s="123" t="s">
        <v>9</v>
      </c>
      <c r="W4" s="123" t="s">
        <v>10</v>
      </c>
      <c r="Y4" s="123" t="s">
        <v>11</v>
      </c>
      <c r="AA4" s="123" t="s">
        <v>12</v>
      </c>
    </row>
    <row r="5" spans="2:29" ht="15" customHeight="1" x14ac:dyDescent="0.3">
      <c r="B5" s="225"/>
      <c r="C5" s="226"/>
      <c r="D5" s="226"/>
      <c r="E5" s="226"/>
      <c r="F5" s="226"/>
      <c r="G5" s="226"/>
      <c r="H5" s="226"/>
      <c r="I5" s="226"/>
      <c r="J5" s="226"/>
      <c r="K5" s="226"/>
      <c r="L5" s="226"/>
      <c r="M5" s="226"/>
      <c r="N5" s="59"/>
      <c r="O5" s="625"/>
      <c r="P5" s="626"/>
      <c r="Q5" s="626"/>
      <c r="R5" s="626"/>
      <c r="S5" s="627"/>
      <c r="V5" s="123" t="s">
        <v>14</v>
      </c>
      <c r="Y5" s="123" t="s">
        <v>15</v>
      </c>
      <c r="AA5" s="123" t="s">
        <v>16</v>
      </c>
    </row>
    <row r="6" spans="2:29" ht="15" customHeight="1" x14ac:dyDescent="0.3">
      <c r="B6" s="4"/>
      <c r="C6" s="35"/>
      <c r="D6" s="35"/>
      <c r="G6" s="36" t="s">
        <v>17</v>
      </c>
      <c r="H6" s="20"/>
      <c r="I6" s="20"/>
      <c r="J6" s="20"/>
      <c r="K6" s="20"/>
      <c r="L6" s="37" t="s">
        <v>19</v>
      </c>
      <c r="M6" s="51"/>
      <c r="N6" s="21"/>
      <c r="O6" s="625"/>
      <c r="P6" s="626"/>
      <c r="Q6" s="626"/>
      <c r="R6" s="626"/>
      <c r="S6" s="627"/>
      <c r="AA6" s="123" t="s">
        <v>21</v>
      </c>
    </row>
    <row r="7" spans="2:29" ht="15" customHeight="1" x14ac:dyDescent="0.3">
      <c r="B7" s="4"/>
      <c r="C7" s="35"/>
      <c r="D7" s="35"/>
      <c r="G7" s="36" t="s">
        <v>22</v>
      </c>
      <c r="H7" s="22"/>
      <c r="I7" s="22"/>
      <c r="J7" s="22"/>
      <c r="K7" s="22"/>
      <c r="L7" s="50" t="s">
        <v>24</v>
      </c>
      <c r="M7" s="173"/>
      <c r="N7" s="214"/>
      <c r="O7" s="625"/>
      <c r="P7" s="626"/>
      <c r="Q7" s="626"/>
      <c r="R7" s="626"/>
      <c r="S7" s="627"/>
      <c r="T7" s="122"/>
      <c r="U7" s="124"/>
      <c r="V7" s="124"/>
      <c r="W7" s="124"/>
      <c r="X7" s="124"/>
      <c r="Z7" s="124"/>
      <c r="AA7" s="123" t="s">
        <v>26</v>
      </c>
      <c r="AB7" s="124"/>
      <c r="AC7" s="124"/>
    </row>
    <row r="8" spans="2:29" ht="15" customHeight="1" x14ac:dyDescent="0.3">
      <c r="B8" s="4"/>
      <c r="C8" s="35"/>
      <c r="D8" s="35"/>
      <c r="G8" s="36" t="s">
        <v>27</v>
      </c>
      <c r="H8" s="291"/>
      <c r="I8" s="291"/>
      <c r="J8" s="291"/>
      <c r="K8" s="291"/>
      <c r="L8" s="53" t="s">
        <v>29</v>
      </c>
      <c r="M8" s="173"/>
      <c r="N8" s="214"/>
      <c r="O8" s="625"/>
      <c r="P8" s="626"/>
      <c r="Q8" s="626"/>
      <c r="R8" s="626"/>
      <c r="S8" s="627"/>
      <c r="T8" s="122"/>
      <c r="U8" s="124"/>
      <c r="V8" s="124"/>
      <c r="W8" s="124"/>
      <c r="X8" s="124"/>
      <c r="Z8" s="124"/>
      <c r="AA8" s="124"/>
      <c r="AB8" s="124"/>
      <c r="AC8" s="124"/>
    </row>
    <row r="9" spans="2:29" ht="15" customHeight="1" x14ac:dyDescent="0.3">
      <c r="B9" s="4"/>
      <c r="C9" s="35"/>
      <c r="D9" s="35"/>
      <c r="G9" s="36" t="s">
        <v>31</v>
      </c>
      <c r="H9" s="292"/>
      <c r="I9" s="292"/>
      <c r="J9" s="292"/>
      <c r="K9" s="292"/>
      <c r="L9" s="53" t="s">
        <v>32</v>
      </c>
      <c r="M9" s="173"/>
      <c r="N9" s="214"/>
      <c r="O9" s="625"/>
      <c r="P9" s="626"/>
      <c r="Q9" s="626"/>
      <c r="R9" s="626"/>
      <c r="S9" s="627"/>
      <c r="T9" s="122"/>
      <c r="U9" s="124"/>
      <c r="V9" s="124"/>
      <c r="W9" s="124"/>
      <c r="X9" s="124"/>
      <c r="Y9" s="124"/>
      <c r="Z9" s="124"/>
      <c r="AA9" s="124"/>
      <c r="AB9" s="124"/>
      <c r="AC9" s="124"/>
    </row>
    <row r="10" spans="2:29" ht="15" customHeight="1" x14ac:dyDescent="0.3">
      <c r="B10" s="4"/>
      <c r="C10" s="35"/>
      <c r="D10" s="35"/>
      <c r="G10" s="36" t="s">
        <v>33</v>
      </c>
      <c r="H10" s="292"/>
      <c r="I10" s="292"/>
      <c r="J10" s="292"/>
      <c r="K10" s="292"/>
      <c r="L10" s="53" t="s">
        <v>34</v>
      </c>
      <c r="M10" s="173"/>
      <c r="N10" s="214"/>
      <c r="O10" s="625"/>
      <c r="P10" s="626"/>
      <c r="Q10" s="626"/>
      <c r="R10" s="626"/>
      <c r="S10" s="627"/>
      <c r="T10" s="122"/>
      <c r="U10" s="124"/>
      <c r="V10" s="124"/>
      <c r="W10" s="124"/>
      <c r="X10" s="124"/>
      <c r="Y10" s="124"/>
      <c r="Z10" s="124"/>
      <c r="AA10" s="124"/>
      <c r="AB10" s="124"/>
      <c r="AC10" s="124"/>
    </row>
    <row r="11" spans="2:29" ht="40.4" customHeight="1" thickBot="1" x14ac:dyDescent="0.35">
      <c r="B11" s="4"/>
      <c r="C11" s="59"/>
      <c r="D11" s="59"/>
      <c r="F11" s="59"/>
      <c r="G11" s="59"/>
      <c r="H11" s="59"/>
      <c r="I11" s="59"/>
      <c r="J11" s="59"/>
      <c r="K11" s="59"/>
      <c r="L11" s="59"/>
      <c r="M11" s="59"/>
      <c r="N11" s="36"/>
      <c r="O11" s="625"/>
      <c r="P11" s="626"/>
      <c r="Q11" s="626"/>
      <c r="R11" s="626"/>
      <c r="S11" s="627"/>
      <c r="T11" s="122"/>
      <c r="U11" s="124"/>
      <c r="V11" s="124"/>
      <c r="W11" s="124"/>
      <c r="X11" s="124"/>
      <c r="Y11" s="124"/>
      <c r="Z11" s="124"/>
      <c r="AA11" s="124"/>
      <c r="AB11" s="124"/>
      <c r="AC11" s="124"/>
    </row>
    <row r="12" spans="2:29" ht="43.4" customHeight="1" thickBot="1" x14ac:dyDescent="0.35">
      <c r="B12" s="513">
        <v>1</v>
      </c>
      <c r="C12" s="631" t="s">
        <v>383</v>
      </c>
      <c r="D12" s="632"/>
      <c r="E12" s="632"/>
      <c r="F12" s="632"/>
      <c r="G12" s="632"/>
      <c r="H12" s="632"/>
      <c r="I12" s="632"/>
      <c r="J12" s="632"/>
      <c r="K12" s="632"/>
      <c r="L12" s="632"/>
      <c r="M12" s="632"/>
      <c r="N12" s="310" t="s">
        <v>36</v>
      </c>
      <c r="O12" s="316" t="s">
        <v>42</v>
      </c>
      <c r="P12" s="317" t="s">
        <v>43</v>
      </c>
      <c r="Q12" s="317" t="s">
        <v>44</v>
      </c>
      <c r="R12" s="317" t="s">
        <v>46</v>
      </c>
      <c r="S12" s="489" t="s">
        <v>45</v>
      </c>
      <c r="T12" s="122"/>
      <c r="U12" s="124"/>
      <c r="V12" s="124"/>
      <c r="W12" s="124"/>
      <c r="X12" s="124"/>
      <c r="Y12" s="124"/>
      <c r="Z12" s="124"/>
      <c r="AA12" s="124"/>
      <c r="AB12" s="124"/>
      <c r="AC12" s="124"/>
    </row>
    <row r="13" spans="2:29" ht="31" outlineLevel="1" x14ac:dyDescent="0.3">
      <c r="B13" s="600" t="s">
        <v>47</v>
      </c>
      <c r="C13" s="236" t="s">
        <v>48</v>
      </c>
      <c r="D13" s="628" t="s">
        <v>49</v>
      </c>
      <c r="E13" s="628"/>
      <c r="F13" s="628"/>
      <c r="G13" s="628"/>
      <c r="H13" s="628"/>
      <c r="I13" s="628"/>
      <c r="J13" s="628"/>
      <c r="K13" s="628"/>
      <c r="L13" s="628"/>
      <c r="M13" s="628"/>
      <c r="N13" s="216" t="s">
        <v>50</v>
      </c>
      <c r="O13" s="219" t="s">
        <v>52</v>
      </c>
      <c r="P13" s="187" t="s">
        <v>53</v>
      </c>
      <c r="Q13" s="187" t="s">
        <v>54</v>
      </c>
      <c r="R13" s="187" t="s">
        <v>56</v>
      </c>
      <c r="S13" s="490" t="s">
        <v>55</v>
      </c>
      <c r="T13" s="122"/>
      <c r="U13" s="124"/>
      <c r="V13" s="124"/>
      <c r="W13" s="124"/>
      <c r="X13" s="124"/>
      <c r="Y13" s="124"/>
      <c r="Z13" s="124"/>
      <c r="AA13" s="124"/>
      <c r="AB13" s="124"/>
      <c r="AC13" s="124"/>
    </row>
    <row r="14" spans="2:29" ht="31" outlineLevel="1" x14ac:dyDescent="0.3">
      <c r="B14" s="601"/>
      <c r="C14" s="236" t="s">
        <v>57</v>
      </c>
      <c r="D14" s="609" t="s">
        <v>58</v>
      </c>
      <c r="E14" s="610"/>
      <c r="F14" s="610"/>
      <c r="G14" s="610"/>
      <c r="H14" s="610"/>
      <c r="I14" s="610"/>
      <c r="J14" s="610"/>
      <c r="K14" s="610"/>
      <c r="L14" s="610"/>
      <c r="M14" s="610"/>
      <c r="N14" s="275" t="s">
        <v>59</v>
      </c>
      <c r="O14" s="176" t="s">
        <v>54</v>
      </c>
      <c r="P14" s="98" t="s">
        <v>52</v>
      </c>
      <c r="Q14" s="98" t="s">
        <v>61</v>
      </c>
      <c r="R14" s="98" t="s">
        <v>53</v>
      </c>
      <c r="S14" s="491" t="s">
        <v>55</v>
      </c>
      <c r="T14" s="122"/>
      <c r="U14" s="124"/>
      <c r="V14" s="124"/>
      <c r="W14" s="124"/>
      <c r="X14" s="124"/>
      <c r="Y14" s="124"/>
      <c r="Z14" s="124"/>
      <c r="AA14" s="124"/>
      <c r="AB14" s="124"/>
      <c r="AC14" s="124"/>
    </row>
    <row r="15" spans="2:29" ht="92.9" customHeight="1" outlineLevel="1" x14ac:dyDescent="0.3">
      <c r="B15" s="601"/>
      <c r="C15" s="236" t="s">
        <v>62</v>
      </c>
      <c r="D15" s="629" t="s">
        <v>384</v>
      </c>
      <c r="E15" s="630"/>
      <c r="F15" s="630"/>
      <c r="G15" s="630"/>
      <c r="H15" s="630"/>
      <c r="I15" s="630"/>
      <c r="J15" s="630"/>
      <c r="K15" s="630"/>
      <c r="L15" s="630"/>
      <c r="M15" s="630"/>
      <c r="N15" s="178" t="s">
        <v>64</v>
      </c>
      <c r="O15" s="183" t="s">
        <v>66</v>
      </c>
      <c r="P15" s="98" t="s">
        <v>53</v>
      </c>
      <c r="Q15" s="98" t="s">
        <v>54</v>
      </c>
      <c r="R15" s="98" t="s">
        <v>68</v>
      </c>
      <c r="S15" s="491" t="s">
        <v>67</v>
      </c>
      <c r="T15" s="122"/>
      <c r="U15" s="124"/>
      <c r="V15" s="124"/>
      <c r="W15" s="124"/>
      <c r="X15" s="124"/>
      <c r="Y15" s="124"/>
      <c r="Z15" s="124"/>
      <c r="AA15" s="124"/>
      <c r="AB15" s="124"/>
      <c r="AC15" s="124"/>
    </row>
    <row r="16" spans="2:29" ht="53.15" customHeight="1" outlineLevel="1" x14ac:dyDescent="0.3">
      <c r="B16" s="601"/>
      <c r="C16" s="236" t="s">
        <v>69</v>
      </c>
      <c r="D16" s="609" t="s">
        <v>70</v>
      </c>
      <c r="E16" s="610"/>
      <c r="F16" s="610"/>
      <c r="G16" s="610"/>
      <c r="H16" s="610"/>
      <c r="I16" s="610"/>
      <c r="J16" s="610"/>
      <c r="K16" s="610"/>
      <c r="L16" s="610"/>
      <c r="M16" s="610"/>
      <c r="N16" s="178" t="s">
        <v>71</v>
      </c>
      <c r="O16" s="176" t="s">
        <v>54</v>
      </c>
      <c r="P16" s="98" t="s">
        <v>73</v>
      </c>
      <c r="Q16" s="98" t="s">
        <v>55</v>
      </c>
      <c r="R16" s="98" t="s">
        <v>75</v>
      </c>
      <c r="S16" s="491" t="s">
        <v>74</v>
      </c>
      <c r="T16" s="122"/>
      <c r="U16" s="124"/>
      <c r="V16" s="124"/>
      <c r="W16" s="124"/>
      <c r="X16" s="124"/>
      <c r="Y16" s="124"/>
      <c r="Z16" s="124"/>
      <c r="AA16" s="124"/>
      <c r="AB16" s="124"/>
      <c r="AC16" s="124"/>
    </row>
    <row r="17" spans="2:29" ht="75.75" customHeight="1" outlineLevel="1" x14ac:dyDescent="0.3">
      <c r="B17" s="601"/>
      <c r="C17" s="236" t="s">
        <v>76</v>
      </c>
      <c r="D17" s="629" t="s">
        <v>77</v>
      </c>
      <c r="E17" s="630"/>
      <c r="F17" s="630"/>
      <c r="G17" s="630"/>
      <c r="H17" s="630"/>
      <c r="I17" s="630"/>
      <c r="J17" s="630"/>
      <c r="K17" s="630"/>
      <c r="L17" s="630"/>
      <c r="M17" s="630"/>
      <c r="N17" s="178"/>
      <c r="O17" s="183" t="s">
        <v>80</v>
      </c>
      <c r="P17" s="98" t="s">
        <v>54</v>
      </c>
      <c r="Q17" s="98" t="s">
        <v>81</v>
      </c>
      <c r="R17" s="98" t="s">
        <v>82</v>
      </c>
      <c r="S17" s="491" t="s">
        <v>55</v>
      </c>
      <c r="T17" s="122"/>
      <c r="U17" s="124"/>
      <c r="V17" s="124"/>
      <c r="W17" s="124"/>
      <c r="X17" s="124"/>
      <c r="Y17" s="124"/>
      <c r="Z17" s="124"/>
      <c r="AA17" s="124"/>
      <c r="AB17" s="124"/>
      <c r="AC17" s="124"/>
    </row>
    <row r="18" spans="2:29" ht="32.15" customHeight="1" outlineLevel="1" x14ac:dyDescent="0.3">
      <c r="B18" s="601"/>
      <c r="C18" s="236" t="s">
        <v>83</v>
      </c>
      <c r="D18" s="609" t="s">
        <v>84</v>
      </c>
      <c r="E18" s="609"/>
      <c r="F18" s="609"/>
      <c r="G18" s="609"/>
      <c r="H18" s="609"/>
      <c r="I18" s="609"/>
      <c r="J18" s="609"/>
      <c r="K18" s="609"/>
      <c r="L18" s="609"/>
      <c r="M18" s="609"/>
      <c r="N18" s="275" t="s">
        <v>85</v>
      </c>
      <c r="O18" s="183" t="s">
        <v>87</v>
      </c>
      <c r="P18" s="98" t="s">
        <v>52</v>
      </c>
      <c r="Q18" s="98" t="s">
        <v>54</v>
      </c>
      <c r="R18" s="98" t="s">
        <v>89</v>
      </c>
      <c r="S18" s="491" t="s">
        <v>88</v>
      </c>
      <c r="T18" s="122"/>
      <c r="U18" s="124"/>
      <c r="V18" s="124"/>
      <c r="W18" s="124"/>
      <c r="X18" s="124"/>
      <c r="Y18" s="124"/>
      <c r="Z18" s="124"/>
      <c r="AA18" s="124"/>
      <c r="AB18" s="124"/>
      <c r="AC18" s="124"/>
    </row>
    <row r="19" spans="2:29" ht="31.4" customHeight="1" outlineLevel="1" x14ac:dyDescent="0.3">
      <c r="B19" s="601"/>
      <c r="C19" s="236" t="s">
        <v>90</v>
      </c>
      <c r="D19" s="609" t="s">
        <v>91</v>
      </c>
      <c r="E19" s="609"/>
      <c r="F19" s="609"/>
      <c r="G19" s="609"/>
      <c r="H19" s="609"/>
      <c r="I19" s="609"/>
      <c r="J19" s="609"/>
      <c r="K19" s="609"/>
      <c r="L19" s="609"/>
      <c r="M19" s="609"/>
      <c r="N19" s="275" t="s">
        <v>92</v>
      </c>
      <c r="O19" s="176" t="s">
        <v>94</v>
      </c>
      <c r="P19" s="98" t="s">
        <v>73</v>
      </c>
      <c r="Q19" s="98" t="s">
        <v>95</v>
      </c>
      <c r="R19" s="98" t="s">
        <v>54</v>
      </c>
      <c r="S19" s="491" t="s">
        <v>96</v>
      </c>
      <c r="T19" s="122"/>
      <c r="U19" s="124"/>
      <c r="V19" s="124"/>
      <c r="W19" s="124"/>
      <c r="X19" s="124"/>
      <c r="Y19" s="124"/>
      <c r="Z19" s="124"/>
      <c r="AA19" s="124"/>
      <c r="AB19" s="124"/>
      <c r="AC19" s="124"/>
    </row>
    <row r="20" spans="2:29" ht="36" customHeight="1" outlineLevel="1" x14ac:dyDescent="0.3">
      <c r="B20" s="601"/>
      <c r="C20" s="236" t="s">
        <v>98</v>
      </c>
      <c r="D20" s="609" t="s">
        <v>99</v>
      </c>
      <c r="E20" s="609"/>
      <c r="F20" s="609"/>
      <c r="G20" s="609"/>
      <c r="H20" s="609"/>
      <c r="I20" s="609"/>
      <c r="J20" s="609"/>
      <c r="K20" s="609"/>
      <c r="L20" s="609"/>
      <c r="M20" s="609"/>
      <c r="N20" s="178" t="s">
        <v>100</v>
      </c>
      <c r="O20" s="183" t="s">
        <v>102</v>
      </c>
      <c r="P20" s="98" t="s">
        <v>103</v>
      </c>
      <c r="Q20" s="98" t="s">
        <v>95</v>
      </c>
      <c r="R20" s="98" t="s">
        <v>54</v>
      </c>
      <c r="S20" s="491" t="s">
        <v>73</v>
      </c>
      <c r="T20" s="122"/>
      <c r="U20" s="124"/>
      <c r="V20" s="124"/>
      <c r="W20" s="124"/>
      <c r="X20" s="124"/>
      <c r="Y20" s="124"/>
      <c r="Z20" s="124"/>
      <c r="AA20" s="124"/>
      <c r="AB20" s="124"/>
      <c r="AC20" s="124"/>
    </row>
    <row r="21" spans="2:29" ht="32.15" customHeight="1" outlineLevel="1" x14ac:dyDescent="0.3">
      <c r="B21" s="601"/>
      <c r="C21" s="236" t="s">
        <v>104</v>
      </c>
      <c r="D21" s="609" t="s">
        <v>105</v>
      </c>
      <c r="E21" s="609"/>
      <c r="F21" s="609"/>
      <c r="G21" s="609"/>
      <c r="H21" s="609"/>
      <c r="I21" s="609"/>
      <c r="J21" s="609"/>
      <c r="K21" s="609"/>
      <c r="L21" s="609"/>
      <c r="M21" s="609"/>
      <c r="N21" s="178" t="s">
        <v>106</v>
      </c>
      <c r="O21" s="183" t="s">
        <v>52</v>
      </c>
      <c r="P21" s="98" t="s">
        <v>53</v>
      </c>
      <c r="Q21" s="98" t="s">
        <v>108</v>
      </c>
      <c r="R21" s="98" t="s">
        <v>109</v>
      </c>
      <c r="S21" s="492" t="s">
        <v>80</v>
      </c>
      <c r="T21" s="122"/>
      <c r="U21" s="124"/>
      <c r="V21" s="124"/>
      <c r="W21" s="124"/>
      <c r="X21" s="124"/>
      <c r="Y21" s="124"/>
      <c r="Z21" s="124"/>
      <c r="AA21" s="124"/>
      <c r="AB21" s="124"/>
      <c r="AC21" s="124"/>
    </row>
    <row r="22" spans="2:29" ht="32.15" customHeight="1" outlineLevel="1" x14ac:dyDescent="0.3">
      <c r="B22" s="601"/>
      <c r="C22" s="236" t="s">
        <v>110</v>
      </c>
      <c r="D22" s="571" t="s">
        <v>385</v>
      </c>
      <c r="E22" s="571"/>
      <c r="F22" s="571"/>
      <c r="G22" s="571"/>
      <c r="H22" s="571"/>
      <c r="I22" s="571"/>
      <c r="J22" s="571"/>
      <c r="K22" s="571"/>
      <c r="L22" s="571"/>
      <c r="M22" s="571"/>
      <c r="N22" s="175" t="s">
        <v>112</v>
      </c>
      <c r="O22" s="183" t="s">
        <v>114</v>
      </c>
      <c r="P22" s="183" t="s">
        <v>52</v>
      </c>
      <c r="Q22" s="183" t="s">
        <v>73</v>
      </c>
      <c r="R22" s="98" t="s">
        <v>116</v>
      </c>
      <c r="S22" s="491" t="s">
        <v>115</v>
      </c>
      <c r="T22" s="122"/>
      <c r="U22" s="124"/>
      <c r="V22" s="124"/>
      <c r="W22" s="124"/>
      <c r="X22" s="124"/>
      <c r="Y22" s="124"/>
      <c r="Z22" s="124"/>
      <c r="AA22" s="124"/>
      <c r="AB22" s="124"/>
      <c r="AC22" s="124"/>
    </row>
    <row r="23" spans="2:29" ht="32.15" customHeight="1" outlineLevel="1" thickBot="1" x14ac:dyDescent="0.35">
      <c r="B23" s="601"/>
      <c r="C23" s="276" t="s">
        <v>117</v>
      </c>
      <c r="D23" s="618" t="s">
        <v>386</v>
      </c>
      <c r="E23" s="618"/>
      <c r="F23" s="618"/>
      <c r="G23" s="618"/>
      <c r="H23" s="618"/>
      <c r="I23" s="618"/>
      <c r="J23" s="618"/>
      <c r="K23" s="618"/>
      <c r="L23" s="618"/>
      <c r="M23" s="618"/>
      <c r="N23" s="231" t="s">
        <v>119</v>
      </c>
      <c r="O23" s="176" t="s">
        <v>52</v>
      </c>
      <c r="P23" s="98" t="s">
        <v>53</v>
      </c>
      <c r="Q23" s="98" t="s">
        <v>114</v>
      </c>
      <c r="R23" s="98" t="s">
        <v>121</v>
      </c>
      <c r="S23" s="491" t="s">
        <v>88</v>
      </c>
      <c r="T23" s="122"/>
      <c r="U23" s="124"/>
      <c r="V23" s="124"/>
      <c r="W23" s="124"/>
      <c r="X23" s="124"/>
      <c r="Y23" s="124"/>
      <c r="Z23" s="124"/>
      <c r="AA23" s="124"/>
      <c r="AB23" s="124"/>
      <c r="AC23" s="124"/>
    </row>
    <row r="24" spans="2:29" ht="24.75" customHeight="1" outlineLevel="1" thickBot="1" x14ac:dyDescent="0.35">
      <c r="B24" s="601"/>
      <c r="C24" s="572" t="s">
        <v>122</v>
      </c>
      <c r="D24" s="572"/>
      <c r="E24" s="572"/>
      <c r="F24" s="573"/>
      <c r="G24" s="472" t="s">
        <v>123</v>
      </c>
      <c r="H24" s="249"/>
      <c r="I24" s="249"/>
      <c r="J24" s="249"/>
      <c r="K24" s="249"/>
      <c r="L24" s="249"/>
      <c r="M24" s="249"/>
      <c r="N24" s="249"/>
      <c r="O24" s="245"/>
      <c r="P24" s="246"/>
      <c r="Q24" s="246"/>
      <c r="R24" s="246"/>
      <c r="S24" s="493"/>
      <c r="T24" s="252"/>
    </row>
    <row r="25" spans="2:29" ht="15" customHeight="1" outlineLevel="1" x14ac:dyDescent="0.3">
      <c r="B25" s="601"/>
      <c r="C25" s="575" t="s">
        <v>124</v>
      </c>
      <c r="D25" s="575"/>
      <c r="E25" s="576" t="s">
        <v>2</v>
      </c>
      <c r="F25" s="577"/>
      <c r="G25" s="564" t="s">
        <v>53</v>
      </c>
      <c r="H25" s="242"/>
      <c r="I25" s="578"/>
      <c r="J25" s="578"/>
      <c r="K25" s="569"/>
      <c r="L25" s="569"/>
      <c r="M25" s="243"/>
      <c r="N25" s="244"/>
      <c r="O25" s="244"/>
      <c r="P25" s="243"/>
      <c r="Q25" s="243"/>
      <c r="R25" s="242"/>
      <c r="S25" s="494"/>
      <c r="T25" s="252"/>
    </row>
    <row r="26" spans="2:29" ht="15" customHeight="1" outlineLevel="1" x14ac:dyDescent="0.3">
      <c r="B26" s="601"/>
      <c r="C26" s="586" t="s">
        <v>125</v>
      </c>
      <c r="D26" s="586"/>
      <c r="E26" s="579"/>
      <c r="F26" s="580"/>
      <c r="G26" s="565"/>
      <c r="H26" s="242"/>
      <c r="I26" s="569"/>
      <c r="J26" s="569"/>
      <c r="K26" s="569"/>
      <c r="L26" s="569"/>
      <c r="M26" s="244"/>
      <c r="N26" s="244"/>
      <c r="O26" s="244"/>
      <c r="P26" s="243"/>
      <c r="Q26" s="243"/>
      <c r="R26" s="242"/>
      <c r="S26" s="494"/>
      <c r="T26" s="252"/>
    </row>
    <row r="27" spans="2:29" ht="15" customHeight="1" outlineLevel="1" thickBot="1" x14ac:dyDescent="0.35">
      <c r="B27" s="602"/>
      <c r="C27" s="634" t="s">
        <v>126</v>
      </c>
      <c r="D27" s="634"/>
      <c r="E27" s="581"/>
      <c r="F27" s="582"/>
      <c r="G27" s="566"/>
      <c r="H27" s="239"/>
      <c r="I27" s="583"/>
      <c r="J27" s="583"/>
      <c r="K27" s="583"/>
      <c r="L27" s="583"/>
      <c r="M27" s="247"/>
      <c r="N27" s="247"/>
      <c r="O27" s="247"/>
      <c r="P27" s="248"/>
      <c r="Q27" s="248"/>
      <c r="R27" s="239"/>
      <c r="S27" s="494"/>
      <c r="T27" s="252"/>
    </row>
    <row r="28" spans="2:29" ht="34.5" customHeight="1" thickBot="1" x14ac:dyDescent="0.35">
      <c r="B28" s="514" t="s">
        <v>127</v>
      </c>
      <c r="C28" s="611" t="s">
        <v>387</v>
      </c>
      <c r="D28" s="612"/>
      <c r="E28" s="612"/>
      <c r="F28" s="612"/>
      <c r="G28" s="612"/>
      <c r="H28" s="612"/>
      <c r="I28" s="612"/>
      <c r="J28" s="612"/>
      <c r="K28" s="612"/>
      <c r="L28" s="612"/>
      <c r="M28" s="613"/>
      <c r="N28" s="310" t="s">
        <v>36</v>
      </c>
      <c r="O28" s="314" t="s">
        <v>42</v>
      </c>
      <c r="P28" s="317" t="s">
        <v>43</v>
      </c>
      <c r="Q28" s="317" t="s">
        <v>44</v>
      </c>
      <c r="R28" s="317" t="s">
        <v>46</v>
      </c>
      <c r="S28" s="489" t="s">
        <v>45</v>
      </c>
      <c r="T28" s="122"/>
      <c r="U28" s="124"/>
      <c r="V28" s="124"/>
      <c r="W28" s="124"/>
      <c r="X28" s="124"/>
      <c r="Y28" s="124"/>
      <c r="Z28" s="124"/>
      <c r="AA28" s="124"/>
      <c r="AB28" s="124"/>
      <c r="AC28" s="124"/>
    </row>
    <row r="29" spans="2:29" ht="78" customHeight="1" outlineLevel="1" x14ac:dyDescent="0.3">
      <c r="B29" s="606" t="s">
        <v>129</v>
      </c>
      <c r="C29" s="236" t="s">
        <v>130</v>
      </c>
      <c r="D29" s="603" t="s">
        <v>131</v>
      </c>
      <c r="E29" s="604"/>
      <c r="F29" s="604"/>
      <c r="G29" s="604"/>
      <c r="H29" s="604"/>
      <c r="I29" s="604"/>
      <c r="J29" s="604"/>
      <c r="K29" s="604"/>
      <c r="L29" s="604"/>
      <c r="M29" s="605"/>
      <c r="N29" s="227" t="s">
        <v>132</v>
      </c>
      <c r="O29" s="230" t="s">
        <v>114</v>
      </c>
      <c r="P29" s="187" t="s">
        <v>134</v>
      </c>
      <c r="Q29" s="187" t="s">
        <v>135</v>
      </c>
      <c r="R29" s="187" t="s">
        <v>137</v>
      </c>
      <c r="S29" s="490" t="s">
        <v>136</v>
      </c>
      <c r="T29" s="122"/>
      <c r="U29" s="124"/>
      <c r="V29" s="124"/>
      <c r="W29" s="124"/>
      <c r="X29" s="124"/>
      <c r="Y29" s="124"/>
      <c r="Z29" s="124"/>
      <c r="AA29" s="124"/>
      <c r="AB29" s="124"/>
      <c r="AC29" s="124"/>
    </row>
    <row r="30" spans="2:29" ht="101.15" customHeight="1" outlineLevel="1" x14ac:dyDescent="0.3">
      <c r="B30" s="607"/>
      <c r="C30" s="237" t="s">
        <v>138</v>
      </c>
      <c r="D30" s="571" t="s">
        <v>139</v>
      </c>
      <c r="E30" s="570"/>
      <c r="F30" s="570"/>
      <c r="G30" s="570"/>
      <c r="H30" s="570"/>
      <c r="I30" s="570"/>
      <c r="J30" s="570"/>
      <c r="K30" s="570"/>
      <c r="L30" s="570"/>
      <c r="M30" s="570"/>
      <c r="N30" s="182" t="s">
        <v>140</v>
      </c>
      <c r="O30" s="234" t="s">
        <v>142</v>
      </c>
      <c r="P30" s="235" t="s">
        <v>114</v>
      </c>
      <c r="Q30" s="235" t="s">
        <v>143</v>
      </c>
      <c r="R30" s="98" t="s">
        <v>145</v>
      </c>
      <c r="S30" s="491" t="s">
        <v>144</v>
      </c>
      <c r="T30" s="122"/>
      <c r="U30" s="124"/>
      <c r="V30" s="124"/>
      <c r="W30" s="124"/>
      <c r="X30" s="124"/>
      <c r="Y30" s="124"/>
      <c r="Z30" s="124"/>
      <c r="AA30" s="124"/>
      <c r="AB30" s="124"/>
      <c r="AC30" s="124"/>
    </row>
    <row r="31" spans="2:29" ht="56.9" customHeight="1" outlineLevel="1" x14ac:dyDescent="0.3">
      <c r="B31" s="607"/>
      <c r="C31" s="237" t="s">
        <v>146</v>
      </c>
      <c r="D31" s="571" t="s">
        <v>147</v>
      </c>
      <c r="E31" s="570"/>
      <c r="F31" s="570"/>
      <c r="G31" s="570"/>
      <c r="H31" s="570"/>
      <c r="I31" s="570"/>
      <c r="J31" s="570"/>
      <c r="K31" s="570"/>
      <c r="L31" s="570"/>
      <c r="M31" s="570"/>
      <c r="N31" s="233" t="s">
        <v>148</v>
      </c>
      <c r="O31" s="98" t="s">
        <v>150</v>
      </c>
      <c r="P31" s="98" t="s">
        <v>151</v>
      </c>
      <c r="Q31" s="98" t="s">
        <v>152</v>
      </c>
      <c r="R31" s="98" t="s">
        <v>154</v>
      </c>
      <c r="S31" s="491" t="s">
        <v>153</v>
      </c>
      <c r="T31" s="122"/>
      <c r="U31" s="124"/>
      <c r="V31" s="124"/>
      <c r="W31" s="124"/>
      <c r="X31" s="124"/>
      <c r="Y31" s="124"/>
      <c r="Z31" s="124"/>
      <c r="AA31" s="124"/>
      <c r="AB31" s="124"/>
      <c r="AC31" s="124"/>
    </row>
    <row r="32" spans="2:29" ht="84" customHeight="1" outlineLevel="1" x14ac:dyDescent="0.3">
      <c r="B32" s="607"/>
      <c r="C32" s="237" t="s">
        <v>155</v>
      </c>
      <c r="D32" s="570" t="s">
        <v>156</v>
      </c>
      <c r="E32" s="570"/>
      <c r="F32" s="570"/>
      <c r="G32" s="570"/>
      <c r="H32" s="570"/>
      <c r="I32" s="570"/>
      <c r="J32" s="570"/>
      <c r="K32" s="570"/>
      <c r="L32" s="570"/>
      <c r="M32" s="570"/>
      <c r="N32" s="182" t="s">
        <v>157</v>
      </c>
      <c r="O32" s="169" t="s">
        <v>114</v>
      </c>
      <c r="P32" s="98" t="s">
        <v>134</v>
      </c>
      <c r="Q32" s="187" t="s">
        <v>135</v>
      </c>
      <c r="R32" s="98" t="s">
        <v>52</v>
      </c>
      <c r="S32" s="491" t="s">
        <v>160</v>
      </c>
      <c r="T32" s="122"/>
      <c r="U32" s="124"/>
      <c r="V32" s="124"/>
      <c r="W32" s="124"/>
      <c r="X32" s="124"/>
      <c r="Y32" s="124"/>
      <c r="Z32" s="124"/>
      <c r="AA32" s="124"/>
      <c r="AB32" s="124"/>
      <c r="AC32" s="124"/>
    </row>
    <row r="33" spans="2:29" ht="49.4" customHeight="1" outlineLevel="1" x14ac:dyDescent="0.3">
      <c r="B33" s="607"/>
      <c r="C33" s="237" t="s">
        <v>161</v>
      </c>
      <c r="D33" s="570" t="s">
        <v>162</v>
      </c>
      <c r="E33" s="570"/>
      <c r="F33" s="570"/>
      <c r="G33" s="570"/>
      <c r="H33" s="570"/>
      <c r="I33" s="570"/>
      <c r="J33" s="570"/>
      <c r="K33" s="570"/>
      <c r="L33" s="570"/>
      <c r="M33" s="570"/>
      <c r="N33" s="182" t="s">
        <v>163</v>
      </c>
      <c r="O33" s="183" t="s">
        <v>165</v>
      </c>
      <c r="P33" s="176" t="s">
        <v>109</v>
      </c>
      <c r="Q33" s="98" t="s">
        <v>166</v>
      </c>
      <c r="R33" s="98" t="s">
        <v>167</v>
      </c>
      <c r="S33" s="495" t="s">
        <v>55</v>
      </c>
      <c r="T33" s="122"/>
      <c r="U33" s="124"/>
      <c r="V33" s="124"/>
      <c r="W33" s="124"/>
      <c r="X33" s="124"/>
      <c r="Y33" s="124"/>
      <c r="Z33" s="124"/>
      <c r="AA33" s="124"/>
      <c r="AB33" s="124"/>
      <c r="AC33" s="124"/>
    </row>
    <row r="34" spans="2:29" ht="63" customHeight="1" outlineLevel="1" x14ac:dyDescent="0.3">
      <c r="B34" s="607"/>
      <c r="C34" s="237" t="s">
        <v>168</v>
      </c>
      <c r="D34" s="570" t="s">
        <v>169</v>
      </c>
      <c r="E34" s="570"/>
      <c r="F34" s="570"/>
      <c r="G34" s="570"/>
      <c r="H34" s="570"/>
      <c r="I34" s="570"/>
      <c r="J34" s="570"/>
      <c r="K34" s="570"/>
      <c r="L34" s="570"/>
      <c r="M34" s="570"/>
      <c r="N34" s="287" t="s">
        <v>170</v>
      </c>
      <c r="O34" s="170" t="s">
        <v>172</v>
      </c>
      <c r="P34" s="98" t="s">
        <v>173</v>
      </c>
      <c r="Q34" s="98" t="s">
        <v>174</v>
      </c>
      <c r="R34" s="98" t="s">
        <v>176</v>
      </c>
      <c r="S34" s="491" t="s">
        <v>175</v>
      </c>
      <c r="T34" s="122"/>
      <c r="U34" s="124"/>
      <c r="V34" s="124"/>
      <c r="W34" s="124"/>
      <c r="X34" s="124"/>
      <c r="Y34" s="124"/>
      <c r="Z34" s="124"/>
      <c r="AA34" s="124"/>
      <c r="AB34" s="124"/>
      <c r="AC34" s="124"/>
    </row>
    <row r="35" spans="2:29" ht="59.15" customHeight="1" outlineLevel="1" x14ac:dyDescent="0.3">
      <c r="B35" s="607"/>
      <c r="C35" s="237" t="s">
        <v>177</v>
      </c>
      <c r="D35" s="571" t="s">
        <v>388</v>
      </c>
      <c r="E35" s="571"/>
      <c r="F35" s="571"/>
      <c r="G35" s="571"/>
      <c r="H35" s="571"/>
      <c r="I35" s="571"/>
      <c r="J35" s="571"/>
      <c r="K35" s="571"/>
      <c r="L35" s="571"/>
      <c r="M35" s="571"/>
      <c r="N35" s="182" t="s">
        <v>179</v>
      </c>
      <c r="O35" s="170" t="s">
        <v>181</v>
      </c>
      <c r="P35" s="98" t="s">
        <v>73</v>
      </c>
      <c r="Q35" s="98" t="s">
        <v>55</v>
      </c>
      <c r="R35" s="98" t="s">
        <v>389</v>
      </c>
      <c r="S35" s="491" t="s">
        <v>182</v>
      </c>
      <c r="T35" s="122"/>
      <c r="U35" s="124"/>
      <c r="V35" s="124"/>
      <c r="W35" s="124"/>
      <c r="X35" s="124"/>
      <c r="Y35" s="124"/>
      <c r="Z35" s="124"/>
      <c r="AA35" s="124"/>
      <c r="AB35" s="124"/>
      <c r="AC35" s="124"/>
    </row>
    <row r="36" spans="2:29" ht="60" customHeight="1" outlineLevel="1" x14ac:dyDescent="0.3">
      <c r="B36" s="607"/>
      <c r="C36" s="237" t="s">
        <v>184</v>
      </c>
      <c r="D36" s="587" t="s">
        <v>185</v>
      </c>
      <c r="E36" s="588"/>
      <c r="F36" s="588"/>
      <c r="G36" s="588"/>
      <c r="H36" s="588"/>
      <c r="I36" s="588"/>
      <c r="J36" s="588"/>
      <c r="K36" s="588"/>
      <c r="L36" s="588"/>
      <c r="M36" s="588"/>
      <c r="N36" s="287" t="s">
        <v>186</v>
      </c>
      <c r="O36" s="170" t="s">
        <v>173</v>
      </c>
      <c r="P36" s="98" t="s">
        <v>188</v>
      </c>
      <c r="Q36" s="98" t="s">
        <v>189</v>
      </c>
      <c r="R36" s="98" t="s">
        <v>191</v>
      </c>
      <c r="S36" s="491" t="s">
        <v>190</v>
      </c>
      <c r="T36" s="122"/>
      <c r="U36" s="124"/>
      <c r="V36" s="124"/>
      <c r="W36" s="124"/>
      <c r="X36" s="124"/>
      <c r="Y36" s="124"/>
      <c r="Z36" s="124"/>
      <c r="AA36" s="124"/>
      <c r="AB36" s="124"/>
      <c r="AC36" s="124"/>
    </row>
    <row r="37" spans="2:29" ht="45" customHeight="1" outlineLevel="1" x14ac:dyDescent="0.3">
      <c r="B37" s="607"/>
      <c r="C37" s="237" t="s">
        <v>192</v>
      </c>
      <c r="D37" s="587" t="s">
        <v>193</v>
      </c>
      <c r="E37" s="588"/>
      <c r="F37" s="588"/>
      <c r="G37" s="588"/>
      <c r="H37" s="588"/>
      <c r="I37" s="588"/>
      <c r="J37" s="588"/>
      <c r="K37" s="588"/>
      <c r="L37" s="588"/>
      <c r="M37" s="588"/>
      <c r="N37" s="287" t="s">
        <v>194</v>
      </c>
      <c r="O37" s="169" t="s">
        <v>196</v>
      </c>
      <c r="P37" s="98" t="s">
        <v>73</v>
      </c>
      <c r="Q37" s="98" t="s">
        <v>197</v>
      </c>
      <c r="R37" s="98" t="s">
        <v>96</v>
      </c>
      <c r="S37" s="491" t="s">
        <v>198</v>
      </c>
      <c r="T37" s="122"/>
      <c r="U37" s="124"/>
      <c r="V37" s="124"/>
      <c r="W37" s="124"/>
      <c r="X37" s="124"/>
      <c r="Y37" s="124"/>
      <c r="Z37" s="124"/>
      <c r="AA37" s="124"/>
      <c r="AB37" s="124"/>
      <c r="AC37" s="124"/>
    </row>
    <row r="38" spans="2:29" ht="50.15" customHeight="1" outlineLevel="1" x14ac:dyDescent="0.3">
      <c r="B38" s="607"/>
      <c r="C38" s="237" t="s">
        <v>200</v>
      </c>
      <c r="D38" s="587" t="s">
        <v>201</v>
      </c>
      <c r="E38" s="588"/>
      <c r="F38" s="588"/>
      <c r="G38" s="588"/>
      <c r="H38" s="588"/>
      <c r="I38" s="588"/>
      <c r="J38" s="588"/>
      <c r="K38" s="588"/>
      <c r="L38" s="588"/>
      <c r="M38" s="588"/>
      <c r="N38" s="287" t="s">
        <v>202</v>
      </c>
      <c r="O38" s="170" t="s">
        <v>204</v>
      </c>
      <c r="P38" s="98" t="s">
        <v>205</v>
      </c>
      <c r="Q38" s="98" t="s">
        <v>206</v>
      </c>
      <c r="R38" s="98" t="s">
        <v>208</v>
      </c>
      <c r="S38" s="491" t="s">
        <v>207</v>
      </c>
      <c r="T38" s="122"/>
      <c r="U38" s="124"/>
      <c r="V38" s="124"/>
      <c r="W38" s="124"/>
      <c r="X38" s="124"/>
      <c r="Y38" s="124"/>
      <c r="Z38" s="124"/>
      <c r="AA38" s="124"/>
      <c r="AB38" s="124"/>
      <c r="AC38" s="124"/>
    </row>
    <row r="39" spans="2:29" ht="121.4" customHeight="1" outlineLevel="1" x14ac:dyDescent="0.3">
      <c r="B39" s="607"/>
      <c r="C39" s="237" t="s">
        <v>209</v>
      </c>
      <c r="D39" s="616" t="s">
        <v>390</v>
      </c>
      <c r="E39" s="588"/>
      <c r="F39" s="588"/>
      <c r="G39" s="588"/>
      <c r="H39" s="588"/>
      <c r="I39" s="588"/>
      <c r="J39" s="588"/>
      <c r="K39" s="588"/>
      <c r="L39" s="588"/>
      <c r="M39" s="588"/>
      <c r="N39" s="182" t="s">
        <v>211</v>
      </c>
      <c r="O39" s="170" t="s">
        <v>391</v>
      </c>
      <c r="P39" s="98" t="s">
        <v>214</v>
      </c>
      <c r="Q39" s="98" t="s">
        <v>215</v>
      </c>
      <c r="R39" s="98" t="s">
        <v>392</v>
      </c>
      <c r="S39" s="491" t="s">
        <v>216</v>
      </c>
      <c r="T39" s="122"/>
      <c r="U39" s="124"/>
      <c r="V39" s="124"/>
      <c r="W39" s="124"/>
      <c r="X39" s="124"/>
      <c r="Y39" s="124"/>
      <c r="Z39" s="124"/>
      <c r="AA39" s="124"/>
      <c r="AB39" s="124"/>
      <c r="AC39" s="124"/>
    </row>
    <row r="40" spans="2:29" ht="82.4" customHeight="1" outlineLevel="1" x14ac:dyDescent="0.3">
      <c r="B40" s="607"/>
      <c r="C40" s="237" t="s">
        <v>218</v>
      </c>
      <c r="D40" s="571" t="s">
        <v>219</v>
      </c>
      <c r="E40" s="570"/>
      <c r="F40" s="570"/>
      <c r="G40" s="570"/>
      <c r="H40" s="570"/>
      <c r="I40" s="570"/>
      <c r="J40" s="570"/>
      <c r="K40" s="570"/>
      <c r="L40" s="570"/>
      <c r="M40" s="587"/>
      <c r="N40" s="182" t="s">
        <v>220</v>
      </c>
      <c r="O40" s="204" t="s">
        <v>222</v>
      </c>
      <c r="P40" s="98" t="s">
        <v>73</v>
      </c>
      <c r="Q40" s="98" t="s">
        <v>223</v>
      </c>
      <c r="R40" s="98" t="s">
        <v>114</v>
      </c>
      <c r="S40" s="491" t="s">
        <v>216</v>
      </c>
      <c r="T40" s="122"/>
      <c r="U40" s="124"/>
      <c r="V40" s="124"/>
      <c r="W40" s="124"/>
      <c r="X40" s="124"/>
      <c r="Y40" s="124"/>
      <c r="Z40" s="124"/>
      <c r="AA40" s="124"/>
      <c r="AB40" s="124"/>
      <c r="AC40" s="124"/>
    </row>
    <row r="41" spans="2:29" ht="60.75" customHeight="1" outlineLevel="1" x14ac:dyDescent="0.3">
      <c r="B41" s="607"/>
      <c r="C41" s="237" t="s">
        <v>224</v>
      </c>
      <c r="D41" s="616" t="s">
        <v>225</v>
      </c>
      <c r="E41" s="588"/>
      <c r="F41" s="588"/>
      <c r="G41" s="588"/>
      <c r="H41" s="588"/>
      <c r="I41" s="588"/>
      <c r="J41" s="588"/>
      <c r="K41" s="588"/>
      <c r="L41" s="588"/>
      <c r="M41" s="588"/>
      <c r="N41" s="287" t="s">
        <v>226</v>
      </c>
      <c r="O41" s="185" t="s">
        <v>196</v>
      </c>
      <c r="P41" s="98" t="s">
        <v>173</v>
      </c>
      <c r="Q41" s="98" t="s">
        <v>197</v>
      </c>
      <c r="R41" s="98" t="s">
        <v>228</v>
      </c>
      <c r="S41" s="491" t="s">
        <v>175</v>
      </c>
      <c r="T41" s="122"/>
      <c r="U41" s="124"/>
      <c r="V41" s="124"/>
      <c r="W41" s="124"/>
      <c r="X41" s="124"/>
      <c r="Y41" s="124"/>
      <c r="Z41" s="124"/>
      <c r="AA41" s="124"/>
      <c r="AB41" s="124"/>
      <c r="AC41" s="124"/>
    </row>
    <row r="42" spans="2:29" ht="41.15" customHeight="1" outlineLevel="1" x14ac:dyDescent="0.3">
      <c r="B42" s="607"/>
      <c r="C42" s="237" t="s">
        <v>229</v>
      </c>
      <c r="D42" s="587" t="s">
        <v>230</v>
      </c>
      <c r="E42" s="588"/>
      <c r="F42" s="588"/>
      <c r="G42" s="588"/>
      <c r="H42" s="588"/>
      <c r="I42" s="588"/>
      <c r="J42" s="588"/>
      <c r="K42" s="588"/>
      <c r="L42" s="588"/>
      <c r="M42" s="588"/>
      <c r="N42" s="287" t="s">
        <v>85</v>
      </c>
      <c r="O42" s="183" t="s">
        <v>87</v>
      </c>
      <c r="P42" s="169" t="s">
        <v>114</v>
      </c>
      <c r="Q42" s="98" t="s">
        <v>232</v>
      </c>
      <c r="R42" s="98" t="s">
        <v>53</v>
      </c>
      <c r="S42" s="491" t="s">
        <v>233</v>
      </c>
      <c r="T42" s="122"/>
      <c r="U42" s="124"/>
      <c r="V42" s="124"/>
      <c r="W42" s="124"/>
      <c r="X42" s="124"/>
      <c r="Y42" s="124"/>
      <c r="Z42" s="124"/>
      <c r="AA42" s="124"/>
      <c r="AB42" s="124"/>
      <c r="AC42" s="124"/>
    </row>
    <row r="43" spans="2:29" ht="42" customHeight="1" outlineLevel="1" x14ac:dyDescent="0.3">
      <c r="B43" s="607"/>
      <c r="C43" s="237" t="s">
        <v>234</v>
      </c>
      <c r="D43" s="616" t="s">
        <v>393</v>
      </c>
      <c r="E43" s="617"/>
      <c r="F43" s="617"/>
      <c r="G43" s="617"/>
      <c r="H43" s="617"/>
      <c r="I43" s="617"/>
      <c r="J43" s="617"/>
      <c r="K43" s="617"/>
      <c r="L43" s="617"/>
      <c r="M43" s="617"/>
      <c r="N43" s="182" t="s">
        <v>236</v>
      </c>
      <c r="O43" s="169" t="s">
        <v>238</v>
      </c>
      <c r="P43" s="98" t="s">
        <v>239</v>
      </c>
      <c r="Q43" s="98" t="s">
        <v>394</v>
      </c>
      <c r="R43" s="98" t="s">
        <v>242</v>
      </c>
      <c r="S43" s="491" t="s">
        <v>241</v>
      </c>
      <c r="T43" s="122"/>
      <c r="U43" s="124"/>
      <c r="V43" s="124"/>
      <c r="W43" s="124"/>
      <c r="X43" s="124"/>
      <c r="Y43" s="124"/>
      <c r="Z43" s="124"/>
      <c r="AA43" s="124"/>
      <c r="AB43" s="124"/>
      <c r="AC43" s="124"/>
    </row>
    <row r="44" spans="2:29" ht="48.75" customHeight="1" outlineLevel="1" thickBot="1" x14ac:dyDescent="0.35">
      <c r="B44" s="607"/>
      <c r="C44" s="250" t="s">
        <v>243</v>
      </c>
      <c r="D44" s="614" t="s">
        <v>395</v>
      </c>
      <c r="E44" s="615"/>
      <c r="F44" s="615"/>
      <c r="G44" s="615"/>
      <c r="H44" s="615"/>
      <c r="I44" s="615"/>
      <c r="J44" s="615"/>
      <c r="K44" s="615"/>
      <c r="L44" s="615"/>
      <c r="M44" s="615"/>
      <c r="N44" s="287" t="s">
        <v>245</v>
      </c>
      <c r="O44" s="241" t="s">
        <v>247</v>
      </c>
      <c r="P44" s="235" t="s">
        <v>248</v>
      </c>
      <c r="Q44" s="235" t="s">
        <v>249</v>
      </c>
      <c r="R44" s="98" t="s">
        <v>251</v>
      </c>
      <c r="S44" s="496" t="s">
        <v>250</v>
      </c>
      <c r="T44" s="122"/>
      <c r="U44" s="124"/>
      <c r="V44" s="124"/>
      <c r="W44" s="124"/>
      <c r="X44" s="124"/>
      <c r="Y44" s="124"/>
      <c r="Z44" s="124"/>
      <c r="AA44" s="124"/>
      <c r="AB44" s="124"/>
      <c r="AC44" s="124"/>
    </row>
    <row r="45" spans="2:29" ht="26.15" customHeight="1" outlineLevel="1" thickBot="1" x14ac:dyDescent="0.35">
      <c r="B45" s="607"/>
      <c r="C45" s="572" t="s">
        <v>122</v>
      </c>
      <c r="D45" s="572"/>
      <c r="E45" s="572"/>
      <c r="F45" s="573"/>
      <c r="G45" s="473" t="s">
        <v>123</v>
      </c>
      <c r="H45" s="249"/>
      <c r="I45" s="249"/>
      <c r="J45" s="249"/>
      <c r="K45" s="249"/>
      <c r="L45" s="249"/>
      <c r="M45" s="249"/>
      <c r="N45" s="249"/>
      <c r="O45" s="245"/>
      <c r="P45" s="246"/>
      <c r="Q45" s="246"/>
      <c r="R45" s="246"/>
      <c r="S45" s="493"/>
    </row>
    <row r="46" spans="2:29" ht="15" customHeight="1" outlineLevel="1" x14ac:dyDescent="0.3">
      <c r="B46" s="607"/>
      <c r="C46" s="574" t="s">
        <v>124</v>
      </c>
      <c r="D46" s="575"/>
      <c r="E46" s="576" t="s">
        <v>2</v>
      </c>
      <c r="F46" s="577"/>
      <c r="G46" s="558" t="s">
        <v>396</v>
      </c>
      <c r="H46" s="242"/>
      <c r="I46" s="578"/>
      <c r="J46" s="578"/>
      <c r="K46" s="569"/>
      <c r="L46" s="569"/>
      <c r="M46" s="243"/>
      <c r="N46" s="244"/>
      <c r="O46" s="244"/>
      <c r="P46" s="243"/>
      <c r="Q46" s="243"/>
      <c r="R46" s="242"/>
      <c r="S46" s="494"/>
    </row>
    <row r="47" spans="2:29" ht="15" customHeight="1" outlineLevel="1" x14ac:dyDescent="0.3">
      <c r="B47" s="607"/>
      <c r="C47" s="599" t="s">
        <v>125</v>
      </c>
      <c r="D47" s="586"/>
      <c r="E47" s="579"/>
      <c r="F47" s="580"/>
      <c r="G47" s="559"/>
      <c r="H47" s="242"/>
      <c r="I47" s="569"/>
      <c r="J47" s="569"/>
      <c r="K47" s="569"/>
      <c r="L47" s="569"/>
      <c r="M47" s="244"/>
      <c r="N47" s="244"/>
      <c r="O47" s="244"/>
      <c r="P47" s="243"/>
      <c r="Q47" s="243"/>
      <c r="R47" s="242"/>
      <c r="S47" s="494"/>
    </row>
    <row r="48" spans="2:29" ht="15" customHeight="1" outlineLevel="1" thickBot="1" x14ac:dyDescent="0.35">
      <c r="B48" s="608"/>
      <c r="C48" s="584" t="s">
        <v>126</v>
      </c>
      <c r="D48" s="585"/>
      <c r="E48" s="596"/>
      <c r="F48" s="597"/>
      <c r="G48" s="560"/>
      <c r="H48" s="242"/>
      <c r="I48" s="569"/>
      <c r="J48" s="569"/>
      <c r="K48" s="569"/>
      <c r="L48" s="569"/>
      <c r="M48" s="244"/>
      <c r="N48" s="244"/>
      <c r="O48" s="244"/>
      <c r="P48" s="243"/>
      <c r="Q48" s="243"/>
      <c r="R48" s="242"/>
      <c r="S48" s="494"/>
    </row>
    <row r="49" spans="1:20" ht="32.25" customHeight="1" thickBot="1" x14ac:dyDescent="0.35">
      <c r="B49" s="328">
        <v>3</v>
      </c>
      <c r="C49" s="635" t="s">
        <v>397</v>
      </c>
      <c r="D49" s="612"/>
      <c r="E49" s="612"/>
      <c r="F49" s="612"/>
      <c r="G49" s="612"/>
      <c r="H49" s="612"/>
      <c r="I49" s="612"/>
      <c r="J49" s="612"/>
      <c r="K49" s="612"/>
      <c r="L49" s="612"/>
      <c r="M49" s="613"/>
      <c r="N49" s="310" t="s">
        <v>36</v>
      </c>
      <c r="O49" s="314" t="s">
        <v>42</v>
      </c>
      <c r="P49" s="317" t="s">
        <v>43</v>
      </c>
      <c r="Q49" s="317" t="s">
        <v>44</v>
      </c>
      <c r="R49" s="317" t="s">
        <v>46</v>
      </c>
      <c r="S49" s="489" t="s">
        <v>45</v>
      </c>
    </row>
    <row r="50" spans="1:20" ht="59.15" customHeight="1" outlineLevel="1" x14ac:dyDescent="0.3">
      <c r="B50" s="589" t="s">
        <v>254</v>
      </c>
      <c r="C50" s="253" t="s">
        <v>255</v>
      </c>
      <c r="D50" s="593" t="s">
        <v>256</v>
      </c>
      <c r="E50" s="593"/>
      <c r="F50" s="593"/>
      <c r="G50" s="593"/>
      <c r="H50" s="593"/>
      <c r="I50" s="593"/>
      <c r="J50" s="593"/>
      <c r="K50" s="593"/>
      <c r="L50" s="593"/>
      <c r="M50" s="593"/>
      <c r="N50" s="197" t="s">
        <v>257</v>
      </c>
      <c r="O50" s="188" t="s">
        <v>150</v>
      </c>
      <c r="P50" s="188" t="s">
        <v>258</v>
      </c>
      <c r="Q50" s="188" t="s">
        <v>259</v>
      </c>
      <c r="R50" s="188" t="s">
        <v>260</v>
      </c>
      <c r="S50" s="497" t="s">
        <v>153</v>
      </c>
    </row>
    <row r="51" spans="1:20" ht="48" customHeight="1" outlineLevel="1" x14ac:dyDescent="0.3">
      <c r="B51" s="590"/>
      <c r="C51" s="254" t="s">
        <v>261</v>
      </c>
      <c r="D51" s="570" t="s">
        <v>262</v>
      </c>
      <c r="E51" s="570"/>
      <c r="F51" s="570"/>
      <c r="G51" s="570"/>
      <c r="H51" s="570"/>
      <c r="I51" s="570"/>
      <c r="J51" s="570"/>
      <c r="K51" s="570"/>
      <c r="L51" s="570"/>
      <c r="M51" s="570"/>
      <c r="N51" s="288" t="s">
        <v>263</v>
      </c>
      <c r="O51" s="9" t="s">
        <v>247</v>
      </c>
      <c r="P51" s="98" t="s">
        <v>248</v>
      </c>
      <c r="Q51" s="98" t="s">
        <v>265</v>
      </c>
      <c r="R51" s="98" t="s">
        <v>398</v>
      </c>
      <c r="S51" s="491" t="s">
        <v>134</v>
      </c>
    </row>
    <row r="52" spans="1:20" ht="56.15" customHeight="1" outlineLevel="1" x14ac:dyDescent="0.3">
      <c r="B52" s="590"/>
      <c r="C52" s="254" t="s">
        <v>267</v>
      </c>
      <c r="D52" s="570" t="s">
        <v>268</v>
      </c>
      <c r="E52" s="570"/>
      <c r="F52" s="570"/>
      <c r="G52" s="570"/>
      <c r="H52" s="570"/>
      <c r="I52" s="570"/>
      <c r="J52" s="570"/>
      <c r="K52" s="570"/>
      <c r="L52" s="570"/>
      <c r="M52" s="570"/>
      <c r="N52" s="288" t="s">
        <v>269</v>
      </c>
      <c r="O52" s="98" t="s">
        <v>271</v>
      </c>
      <c r="P52" s="98" t="s">
        <v>248</v>
      </c>
      <c r="Q52" s="98" t="s">
        <v>399</v>
      </c>
      <c r="R52" s="98" t="s">
        <v>398</v>
      </c>
      <c r="S52" s="491" t="s">
        <v>273</v>
      </c>
    </row>
    <row r="53" spans="1:20" ht="77.900000000000006" customHeight="1" outlineLevel="1" x14ac:dyDescent="0.3">
      <c r="B53" s="590"/>
      <c r="C53" s="254" t="s">
        <v>274</v>
      </c>
      <c r="D53" s="571" t="s">
        <v>275</v>
      </c>
      <c r="E53" s="570"/>
      <c r="F53" s="570"/>
      <c r="G53" s="570"/>
      <c r="H53" s="570"/>
      <c r="I53" s="570"/>
      <c r="J53" s="570"/>
      <c r="K53" s="570"/>
      <c r="L53" s="570"/>
      <c r="M53" s="570"/>
      <c r="N53" s="175" t="s">
        <v>276</v>
      </c>
      <c r="O53" s="169" t="s">
        <v>173</v>
      </c>
      <c r="P53" s="170" t="s">
        <v>238</v>
      </c>
      <c r="Q53" s="170" t="s">
        <v>278</v>
      </c>
      <c r="R53" s="98" t="s">
        <v>280</v>
      </c>
      <c r="S53" s="495" t="s">
        <v>400</v>
      </c>
    </row>
    <row r="54" spans="1:20" ht="87" customHeight="1" outlineLevel="1" x14ac:dyDescent="0.3">
      <c r="B54" s="590"/>
      <c r="C54" s="254" t="s">
        <v>281</v>
      </c>
      <c r="D54" s="571" t="s">
        <v>401</v>
      </c>
      <c r="E54" s="570"/>
      <c r="F54" s="570"/>
      <c r="G54" s="570"/>
      <c r="H54" s="570"/>
      <c r="I54" s="570"/>
      <c r="J54" s="570"/>
      <c r="K54" s="570"/>
      <c r="L54" s="570"/>
      <c r="M54" s="570"/>
      <c r="N54" s="175" t="s">
        <v>283</v>
      </c>
      <c r="O54" s="98" t="s">
        <v>285</v>
      </c>
      <c r="P54" s="98" t="s">
        <v>286</v>
      </c>
      <c r="Q54" s="170" t="s">
        <v>287</v>
      </c>
      <c r="R54" s="98" t="s">
        <v>289</v>
      </c>
      <c r="S54" s="491" t="s">
        <v>288</v>
      </c>
    </row>
    <row r="55" spans="1:20" ht="47.15" customHeight="1" outlineLevel="1" x14ac:dyDescent="0.3">
      <c r="B55" s="590"/>
      <c r="C55" s="254" t="s">
        <v>290</v>
      </c>
      <c r="D55" s="570" t="s">
        <v>291</v>
      </c>
      <c r="E55" s="570"/>
      <c r="F55" s="570"/>
      <c r="G55" s="570"/>
      <c r="H55" s="570"/>
      <c r="I55" s="570"/>
      <c r="J55" s="570"/>
      <c r="K55" s="570"/>
      <c r="L55" s="570"/>
      <c r="M55" s="570"/>
      <c r="N55" s="288" t="s">
        <v>292</v>
      </c>
      <c r="O55" s="9" t="s">
        <v>247</v>
      </c>
      <c r="P55" s="9" t="s">
        <v>248</v>
      </c>
      <c r="Q55" s="98" t="s">
        <v>294</v>
      </c>
      <c r="R55" s="98" t="s">
        <v>296</v>
      </c>
      <c r="S55" s="491" t="s">
        <v>295</v>
      </c>
    </row>
    <row r="56" spans="1:20" s="125" customFormat="1" ht="84" customHeight="1" outlineLevel="1" x14ac:dyDescent="0.3">
      <c r="A56" s="78"/>
      <c r="B56" s="590"/>
      <c r="C56" s="254" t="s">
        <v>297</v>
      </c>
      <c r="D56" s="571" t="s">
        <v>402</v>
      </c>
      <c r="E56" s="570"/>
      <c r="F56" s="570"/>
      <c r="G56" s="570"/>
      <c r="H56" s="570"/>
      <c r="I56" s="570"/>
      <c r="J56" s="570"/>
      <c r="K56" s="570"/>
      <c r="L56" s="570"/>
      <c r="M56" s="570"/>
      <c r="N56" s="175" t="s">
        <v>299</v>
      </c>
      <c r="O56" s="98" t="s">
        <v>301</v>
      </c>
      <c r="P56" s="98" t="s">
        <v>248</v>
      </c>
      <c r="Q56" s="98" t="s">
        <v>196</v>
      </c>
      <c r="R56" s="98" t="s">
        <v>303</v>
      </c>
      <c r="S56" s="491" t="s">
        <v>302</v>
      </c>
      <c r="T56" s="78"/>
    </row>
    <row r="57" spans="1:20" s="125" customFormat="1" ht="154.4" customHeight="1" outlineLevel="1" x14ac:dyDescent="0.3">
      <c r="A57" s="78"/>
      <c r="B57" s="590"/>
      <c r="C57" s="254" t="s">
        <v>304</v>
      </c>
      <c r="D57" s="571" t="s">
        <v>403</v>
      </c>
      <c r="E57" s="633"/>
      <c r="F57" s="633"/>
      <c r="G57" s="633"/>
      <c r="H57" s="633"/>
      <c r="I57" s="633"/>
      <c r="J57" s="633"/>
      <c r="K57" s="633"/>
      <c r="L57" s="633"/>
      <c r="M57" s="633"/>
      <c r="N57" s="175" t="s">
        <v>404</v>
      </c>
      <c r="O57" s="98" t="s">
        <v>308</v>
      </c>
      <c r="P57" s="98" t="s">
        <v>248</v>
      </c>
      <c r="Q57" s="98" t="s">
        <v>309</v>
      </c>
      <c r="R57" s="98" t="s">
        <v>405</v>
      </c>
      <c r="S57" s="491" t="s">
        <v>310</v>
      </c>
      <c r="T57" s="78"/>
    </row>
    <row r="58" spans="1:20" s="125" customFormat="1" ht="72" customHeight="1" outlineLevel="1" x14ac:dyDescent="0.3">
      <c r="A58" s="78"/>
      <c r="B58" s="590"/>
      <c r="C58" s="254" t="s">
        <v>312</v>
      </c>
      <c r="D58" s="571" t="s">
        <v>406</v>
      </c>
      <c r="E58" s="633"/>
      <c r="F58" s="633"/>
      <c r="G58" s="633"/>
      <c r="H58" s="633"/>
      <c r="I58" s="633"/>
      <c r="J58" s="633"/>
      <c r="K58" s="633"/>
      <c r="L58" s="633"/>
      <c r="M58" s="633"/>
      <c r="N58" s="175" t="s">
        <v>314</v>
      </c>
      <c r="O58" s="204" t="s">
        <v>316</v>
      </c>
      <c r="P58" s="170" t="s">
        <v>317</v>
      </c>
      <c r="Q58" s="170" t="s">
        <v>407</v>
      </c>
      <c r="R58" s="170" t="s">
        <v>319</v>
      </c>
      <c r="S58" s="495" t="s">
        <v>205</v>
      </c>
      <c r="T58" s="78"/>
    </row>
    <row r="59" spans="1:20" s="125" customFormat="1" ht="84.75" customHeight="1" outlineLevel="1" x14ac:dyDescent="0.3">
      <c r="A59" s="78"/>
      <c r="B59" s="590"/>
      <c r="C59" s="254" t="s">
        <v>320</v>
      </c>
      <c r="D59" s="571" t="s">
        <v>408</v>
      </c>
      <c r="E59" s="633"/>
      <c r="F59" s="633"/>
      <c r="G59" s="633"/>
      <c r="H59" s="633"/>
      <c r="I59" s="633"/>
      <c r="J59" s="633"/>
      <c r="K59" s="633"/>
      <c r="L59" s="633"/>
      <c r="M59" s="633"/>
      <c r="N59" s="175" t="s">
        <v>322</v>
      </c>
      <c r="O59" s="204" t="s">
        <v>324</v>
      </c>
      <c r="P59" s="170" t="s">
        <v>325</v>
      </c>
      <c r="Q59" s="170" t="s">
        <v>409</v>
      </c>
      <c r="R59" s="170" t="s">
        <v>328</v>
      </c>
      <c r="S59" s="495" t="s">
        <v>327</v>
      </c>
      <c r="T59" s="78"/>
    </row>
    <row r="60" spans="1:20" s="125" customFormat="1" ht="131.9" customHeight="1" outlineLevel="1" x14ac:dyDescent="0.3">
      <c r="A60" s="78"/>
      <c r="B60" s="590"/>
      <c r="C60" s="254" t="s">
        <v>329</v>
      </c>
      <c r="D60" s="571" t="s">
        <v>410</v>
      </c>
      <c r="E60" s="570"/>
      <c r="F60" s="570"/>
      <c r="G60" s="570"/>
      <c r="H60" s="570"/>
      <c r="I60" s="570"/>
      <c r="J60" s="570"/>
      <c r="K60" s="570"/>
      <c r="L60" s="570"/>
      <c r="M60" s="570"/>
      <c r="N60" s="175" t="s">
        <v>331</v>
      </c>
      <c r="O60" s="170" t="s">
        <v>333</v>
      </c>
      <c r="P60" s="170" t="s">
        <v>334</v>
      </c>
      <c r="Q60" s="170" t="s">
        <v>335</v>
      </c>
      <c r="R60" s="170" t="s">
        <v>337</v>
      </c>
      <c r="S60" s="495" t="s">
        <v>336</v>
      </c>
      <c r="T60" s="78"/>
    </row>
    <row r="61" spans="1:20" s="125" customFormat="1" ht="101.15" customHeight="1" outlineLevel="1" x14ac:dyDescent="0.3">
      <c r="A61" s="78"/>
      <c r="B61" s="590"/>
      <c r="C61" s="254" t="s">
        <v>338</v>
      </c>
      <c r="D61" s="571" t="s">
        <v>411</v>
      </c>
      <c r="E61" s="633"/>
      <c r="F61" s="633"/>
      <c r="G61" s="633"/>
      <c r="H61" s="633"/>
      <c r="I61" s="633"/>
      <c r="J61" s="633"/>
      <c r="K61" s="633"/>
      <c r="L61" s="633"/>
      <c r="M61" s="633"/>
      <c r="N61" s="175" t="s">
        <v>340</v>
      </c>
      <c r="O61" s="170" t="s">
        <v>342</v>
      </c>
      <c r="P61" s="170" t="s">
        <v>343</v>
      </c>
      <c r="Q61" s="170" t="s">
        <v>344</v>
      </c>
      <c r="R61" s="170" t="s">
        <v>345</v>
      </c>
      <c r="S61" s="495" t="s">
        <v>336</v>
      </c>
      <c r="T61" s="78"/>
    </row>
    <row r="62" spans="1:20" s="125" customFormat="1" ht="74.150000000000006" customHeight="1" outlineLevel="1" x14ac:dyDescent="0.3">
      <c r="A62" s="78"/>
      <c r="B62" s="590"/>
      <c r="C62" s="254" t="s">
        <v>346</v>
      </c>
      <c r="D62" s="571" t="s">
        <v>347</v>
      </c>
      <c r="E62" s="570"/>
      <c r="F62" s="570"/>
      <c r="G62" s="570"/>
      <c r="H62" s="570"/>
      <c r="I62" s="570"/>
      <c r="J62" s="570"/>
      <c r="K62" s="570"/>
      <c r="L62" s="570"/>
      <c r="M62" s="570"/>
      <c r="N62" s="175" t="s">
        <v>348</v>
      </c>
      <c r="O62" s="204" t="s">
        <v>316</v>
      </c>
      <c r="P62" s="170" t="s">
        <v>350</v>
      </c>
      <c r="Q62" s="170" t="s">
        <v>318</v>
      </c>
      <c r="R62" s="170" t="s">
        <v>319</v>
      </c>
      <c r="S62" s="495" t="s">
        <v>205</v>
      </c>
      <c r="T62" s="78"/>
    </row>
    <row r="63" spans="1:20" s="125" customFormat="1" ht="42" customHeight="1" outlineLevel="1" x14ac:dyDescent="0.3">
      <c r="A63" s="78"/>
      <c r="B63" s="590"/>
      <c r="C63" s="254" t="s">
        <v>351</v>
      </c>
      <c r="D63" s="570" t="s">
        <v>412</v>
      </c>
      <c r="E63" s="570"/>
      <c r="F63" s="570"/>
      <c r="G63" s="570"/>
      <c r="H63" s="570"/>
      <c r="I63" s="570"/>
      <c r="J63" s="570"/>
      <c r="K63" s="570"/>
      <c r="L63" s="570"/>
      <c r="M63" s="570"/>
      <c r="N63" s="289" t="s">
        <v>85</v>
      </c>
      <c r="O63" s="183" t="s">
        <v>87</v>
      </c>
      <c r="P63" s="169" t="s">
        <v>114</v>
      </c>
      <c r="Q63" s="98" t="s">
        <v>232</v>
      </c>
      <c r="R63" s="98" t="s">
        <v>53</v>
      </c>
      <c r="S63" s="491" t="s">
        <v>233</v>
      </c>
      <c r="T63" s="78"/>
    </row>
    <row r="64" spans="1:20" ht="117" customHeight="1" outlineLevel="1" thickBot="1" x14ac:dyDescent="0.35">
      <c r="B64" s="590"/>
      <c r="C64" s="255" t="s">
        <v>353</v>
      </c>
      <c r="D64" s="594" t="s">
        <v>413</v>
      </c>
      <c r="E64" s="594"/>
      <c r="F64" s="594"/>
      <c r="G64" s="594"/>
      <c r="H64" s="594"/>
      <c r="I64" s="594"/>
      <c r="J64" s="594"/>
      <c r="K64" s="594"/>
      <c r="L64" s="594"/>
      <c r="M64" s="594"/>
      <c r="N64" s="290" t="s">
        <v>355</v>
      </c>
      <c r="O64" s="172" t="s">
        <v>173</v>
      </c>
      <c r="P64" s="206" t="s">
        <v>205</v>
      </c>
      <c r="Q64" s="206" t="s">
        <v>357</v>
      </c>
      <c r="R64" s="206" t="s">
        <v>358</v>
      </c>
      <c r="S64" s="498" t="s">
        <v>336</v>
      </c>
    </row>
    <row r="65" spans="2:20" ht="30" customHeight="1" outlineLevel="1" thickBot="1" x14ac:dyDescent="0.35">
      <c r="B65" s="590"/>
      <c r="C65" s="572" t="s">
        <v>122</v>
      </c>
      <c r="D65" s="572"/>
      <c r="E65" s="572"/>
      <c r="F65" s="573"/>
      <c r="G65" s="473" t="s">
        <v>123</v>
      </c>
      <c r="H65" s="249"/>
      <c r="I65" s="249"/>
      <c r="J65" s="249"/>
      <c r="K65" s="249"/>
      <c r="L65" s="249"/>
      <c r="M65" s="249"/>
      <c r="N65" s="249"/>
      <c r="O65" s="245"/>
      <c r="P65" s="246"/>
      <c r="Q65" s="246"/>
      <c r="R65" s="246"/>
      <c r="S65" s="493"/>
    </row>
    <row r="66" spans="2:20" ht="15" customHeight="1" outlineLevel="1" x14ac:dyDescent="0.3">
      <c r="B66" s="590"/>
      <c r="C66" s="574" t="s">
        <v>124</v>
      </c>
      <c r="D66" s="575"/>
      <c r="E66" s="576" t="s">
        <v>2</v>
      </c>
      <c r="F66" s="577"/>
      <c r="G66" s="558" t="s">
        <v>134</v>
      </c>
      <c r="H66" s="242"/>
      <c r="I66" s="578"/>
      <c r="J66" s="578"/>
      <c r="K66" s="569"/>
      <c r="L66" s="569"/>
      <c r="M66" s="243"/>
      <c r="N66" s="244"/>
      <c r="O66" s="244"/>
      <c r="P66" s="243"/>
      <c r="Q66" s="243"/>
      <c r="R66" s="242"/>
      <c r="S66" s="494"/>
    </row>
    <row r="67" spans="2:20" ht="15" customHeight="1" outlineLevel="1" x14ac:dyDescent="0.3">
      <c r="B67" s="590"/>
      <c r="C67" s="599" t="s">
        <v>125</v>
      </c>
      <c r="D67" s="586"/>
      <c r="E67" s="579"/>
      <c r="F67" s="580"/>
      <c r="G67" s="559"/>
      <c r="H67" s="242"/>
      <c r="I67" s="569"/>
      <c r="J67" s="569"/>
      <c r="K67" s="569"/>
      <c r="L67" s="569"/>
      <c r="M67" s="244"/>
      <c r="N67" s="244"/>
      <c r="O67" s="244"/>
      <c r="P67" s="243"/>
      <c r="Q67" s="243"/>
      <c r="R67" s="242"/>
      <c r="S67" s="494"/>
    </row>
    <row r="68" spans="2:20" ht="15" customHeight="1" outlineLevel="1" thickBot="1" x14ac:dyDescent="0.35">
      <c r="B68" s="590"/>
      <c r="C68" s="584" t="s">
        <v>126</v>
      </c>
      <c r="D68" s="585"/>
      <c r="E68" s="596"/>
      <c r="F68" s="597"/>
      <c r="G68" s="560"/>
      <c r="H68" s="242"/>
      <c r="I68" s="569"/>
      <c r="J68" s="569"/>
      <c r="K68" s="569"/>
      <c r="L68" s="569"/>
      <c r="M68" s="244"/>
      <c r="N68" s="244"/>
      <c r="O68" s="244"/>
      <c r="P68" s="243"/>
      <c r="Q68" s="243"/>
      <c r="R68" s="242"/>
      <c r="S68" s="494"/>
    </row>
    <row r="69" spans="2:20" ht="35.9" customHeight="1" thickBot="1" x14ac:dyDescent="0.35">
      <c r="B69" s="327" t="s">
        <v>359</v>
      </c>
      <c r="C69" s="567" t="s">
        <v>414</v>
      </c>
      <c r="D69" s="568"/>
      <c r="E69" s="568"/>
      <c r="F69" s="568"/>
      <c r="G69" s="568"/>
      <c r="H69" s="568"/>
      <c r="I69" s="568"/>
      <c r="J69" s="568"/>
      <c r="K69" s="568"/>
      <c r="L69" s="568"/>
      <c r="M69" s="568"/>
      <c r="N69" s="310" t="s">
        <v>36</v>
      </c>
      <c r="O69" s="314" t="s">
        <v>42</v>
      </c>
      <c r="P69" s="317" t="s">
        <v>43</v>
      </c>
      <c r="Q69" s="317" t="s">
        <v>44</v>
      </c>
      <c r="R69" s="317" t="s">
        <v>46</v>
      </c>
      <c r="S69" s="489" t="s">
        <v>45</v>
      </c>
    </row>
    <row r="70" spans="2:20" ht="84.75" customHeight="1" x14ac:dyDescent="0.3">
      <c r="B70" s="589" t="s">
        <v>361</v>
      </c>
      <c r="C70" s="256" t="s">
        <v>362</v>
      </c>
      <c r="D70" s="592" t="s">
        <v>415</v>
      </c>
      <c r="E70" s="593"/>
      <c r="F70" s="593"/>
      <c r="G70" s="593"/>
      <c r="H70" s="593"/>
      <c r="I70" s="593"/>
      <c r="J70" s="593"/>
      <c r="K70" s="593"/>
      <c r="L70" s="593"/>
      <c r="M70" s="593"/>
      <c r="N70" s="561" t="s">
        <v>364</v>
      </c>
      <c r="O70" s="273" t="s">
        <v>416</v>
      </c>
      <c r="P70" s="273" t="s">
        <v>417</v>
      </c>
      <c r="Q70" s="273" t="s">
        <v>418</v>
      </c>
      <c r="R70" s="273" t="s">
        <v>370</v>
      </c>
      <c r="S70" s="619" t="s">
        <v>369</v>
      </c>
    </row>
    <row r="71" spans="2:20" ht="110.15" customHeight="1" x14ac:dyDescent="0.3">
      <c r="B71" s="590"/>
      <c r="C71" s="237" t="s">
        <v>371</v>
      </c>
      <c r="D71" s="571" t="s">
        <v>419</v>
      </c>
      <c r="E71" s="570"/>
      <c r="F71" s="570"/>
      <c r="G71" s="570"/>
      <c r="H71" s="570"/>
      <c r="I71" s="570"/>
      <c r="J71" s="570"/>
      <c r="K71" s="570"/>
      <c r="L71" s="570"/>
      <c r="M71" s="570"/>
      <c r="N71" s="562"/>
      <c r="O71" s="170" t="s">
        <v>373</v>
      </c>
      <c r="P71" s="170" t="s">
        <v>374</v>
      </c>
      <c r="Q71" s="170" t="s">
        <v>375</v>
      </c>
      <c r="R71" s="170" t="s">
        <v>376</v>
      </c>
      <c r="S71" s="620"/>
    </row>
    <row r="72" spans="2:20" ht="93.75" customHeight="1" thickBot="1" x14ac:dyDescent="0.35">
      <c r="B72" s="590"/>
      <c r="C72" s="257" t="s">
        <v>377</v>
      </c>
      <c r="D72" s="595" t="s">
        <v>420</v>
      </c>
      <c r="E72" s="594"/>
      <c r="F72" s="594"/>
      <c r="G72" s="594"/>
      <c r="H72" s="594"/>
      <c r="I72" s="594"/>
      <c r="J72" s="594"/>
      <c r="K72" s="594"/>
      <c r="L72" s="594"/>
      <c r="M72" s="594"/>
      <c r="N72" s="563"/>
      <c r="O72" s="208" t="s">
        <v>114</v>
      </c>
      <c r="P72" s="206" t="s">
        <v>379</v>
      </c>
      <c r="Q72" s="206" t="s">
        <v>380</v>
      </c>
      <c r="R72" s="206" t="s">
        <v>381</v>
      </c>
      <c r="S72" s="621"/>
      <c r="T72" s="3" t="s">
        <v>158</v>
      </c>
    </row>
    <row r="73" spans="2:20" ht="36" customHeight="1" thickBot="1" x14ac:dyDescent="0.35">
      <c r="B73" s="590"/>
      <c r="C73" s="572" t="s">
        <v>122</v>
      </c>
      <c r="D73" s="572"/>
      <c r="E73" s="572"/>
      <c r="F73" s="573"/>
      <c r="G73" s="473" t="s">
        <v>123</v>
      </c>
      <c r="H73" s="262"/>
      <c r="I73" s="262"/>
      <c r="J73" s="262"/>
      <c r="K73" s="262"/>
      <c r="L73" s="262"/>
      <c r="M73" s="262"/>
      <c r="N73" s="262"/>
      <c r="O73" s="263"/>
      <c r="P73" s="238"/>
      <c r="Q73" s="238"/>
      <c r="R73" s="238"/>
      <c r="S73" s="499"/>
    </row>
    <row r="74" spans="2:20" ht="15" customHeight="1" x14ac:dyDescent="0.3">
      <c r="B74" s="590"/>
      <c r="C74" s="574" t="s">
        <v>124</v>
      </c>
      <c r="D74" s="575"/>
      <c r="E74" s="576" t="s">
        <v>2</v>
      </c>
      <c r="F74" s="577"/>
      <c r="G74" s="558" t="s">
        <v>114</v>
      </c>
      <c r="H74" s="242"/>
      <c r="I74" s="578"/>
      <c r="J74" s="578"/>
      <c r="K74" s="569"/>
      <c r="L74" s="569"/>
      <c r="M74" s="243"/>
      <c r="N74" s="244"/>
      <c r="O74" s="244"/>
      <c r="P74" s="243"/>
      <c r="Q74" s="243"/>
      <c r="R74" s="242"/>
      <c r="S74" s="494"/>
    </row>
    <row r="75" spans="2:20" ht="15" customHeight="1" x14ac:dyDescent="0.3">
      <c r="B75" s="590"/>
      <c r="C75" s="599" t="s">
        <v>125</v>
      </c>
      <c r="D75" s="586"/>
      <c r="E75" s="579"/>
      <c r="F75" s="580"/>
      <c r="G75" s="559"/>
      <c r="H75" s="242"/>
      <c r="I75" s="569"/>
      <c r="J75" s="569"/>
      <c r="K75" s="569"/>
      <c r="L75" s="569"/>
      <c r="M75" s="244"/>
      <c r="N75" s="244"/>
      <c r="O75" s="244"/>
      <c r="P75" s="243"/>
      <c r="Q75" s="243"/>
      <c r="R75" s="242"/>
      <c r="S75" s="494"/>
    </row>
    <row r="76" spans="2:20" ht="15" customHeight="1" thickBot="1" x14ac:dyDescent="0.35">
      <c r="B76" s="591"/>
      <c r="C76" s="584" t="s">
        <v>126</v>
      </c>
      <c r="D76" s="585"/>
      <c r="E76" s="596"/>
      <c r="F76" s="597"/>
      <c r="G76" s="560"/>
      <c r="H76" s="264"/>
      <c r="I76" s="598"/>
      <c r="J76" s="598"/>
      <c r="K76" s="598"/>
      <c r="L76" s="598"/>
      <c r="M76" s="265"/>
      <c r="N76" s="265"/>
      <c r="O76" s="265"/>
      <c r="P76" s="266"/>
      <c r="Q76" s="266"/>
      <c r="R76" s="264"/>
      <c r="S76" s="500"/>
    </row>
    <row r="77" spans="2:20" ht="15" customHeight="1" x14ac:dyDescent="0.3"/>
    <row r="78" spans="2:20" ht="15" customHeight="1" x14ac:dyDescent="0.3">
      <c r="O78" s="24" t="s">
        <v>158</v>
      </c>
    </row>
    <row r="79" spans="2:20" ht="15" customHeight="1" x14ac:dyDescent="0.3"/>
    <row r="80" spans="2:20" ht="15" customHeight="1" x14ac:dyDescent="0.3"/>
    <row r="81" spans="12:12" ht="15" customHeight="1" x14ac:dyDescent="0.3">
      <c r="L81" s="3" t="s">
        <v>158</v>
      </c>
    </row>
    <row r="82" spans="12:12" ht="15" customHeight="1" x14ac:dyDescent="0.3"/>
    <row r="83" spans="12:12" ht="15" customHeight="1" x14ac:dyDescent="0.3"/>
    <row r="84" spans="12:12" ht="15" customHeight="1" x14ac:dyDescent="0.3"/>
    <row r="85" spans="12:12" ht="15" customHeight="1" x14ac:dyDescent="0.3"/>
    <row r="86" spans="12:12" ht="15" customHeight="1" x14ac:dyDescent="0.3"/>
    <row r="87" spans="12:12" ht="15" customHeight="1" x14ac:dyDescent="0.3"/>
    <row r="88" spans="12:12" ht="15" customHeight="1" x14ac:dyDescent="0.3"/>
    <row r="89" spans="12:12" ht="15" customHeight="1" x14ac:dyDescent="0.3"/>
    <row r="90" spans="12:12" ht="15" customHeight="1" x14ac:dyDescent="0.3"/>
    <row r="91" spans="12:12" ht="15" customHeight="1" x14ac:dyDescent="0.3"/>
    <row r="92" spans="12:12" ht="15" customHeight="1" x14ac:dyDescent="0.3"/>
    <row r="93" spans="12:12" ht="15" customHeight="1" x14ac:dyDescent="0.3"/>
    <row r="94" spans="12:12" ht="15" customHeight="1" x14ac:dyDescent="0.3"/>
    <row r="95" spans="12:12" ht="15" customHeight="1" x14ac:dyDescent="0.3"/>
    <row r="96" spans="12:12"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sheetData>
  <mergeCells count="113">
    <mergeCell ref="D57:M57"/>
    <mergeCell ref="D58:M58"/>
    <mergeCell ref="D59:M59"/>
    <mergeCell ref="K68:L68"/>
    <mergeCell ref="E68:F68"/>
    <mergeCell ref="I25:J25"/>
    <mergeCell ref="C27:D27"/>
    <mergeCell ref="D39:M39"/>
    <mergeCell ref="D38:M38"/>
    <mergeCell ref="D42:M42"/>
    <mergeCell ref="D40:M40"/>
    <mergeCell ref="C67:D67"/>
    <mergeCell ref="E67:F67"/>
    <mergeCell ref="D61:M61"/>
    <mergeCell ref="D54:M54"/>
    <mergeCell ref="C49:M49"/>
    <mergeCell ref="D51:M51"/>
    <mergeCell ref="D23:M23"/>
    <mergeCell ref="C25:D25"/>
    <mergeCell ref="E25:F25"/>
    <mergeCell ref="S70:S72"/>
    <mergeCell ref="O3:S11"/>
    <mergeCell ref="D13:M13"/>
    <mergeCell ref="D18:M18"/>
    <mergeCell ref="D19:M19"/>
    <mergeCell ref="D20:M20"/>
    <mergeCell ref="K46:L46"/>
    <mergeCell ref="C47:D47"/>
    <mergeCell ref="I47:J47"/>
    <mergeCell ref="K47:L47"/>
    <mergeCell ref="D15:M15"/>
    <mergeCell ref="D32:M32"/>
    <mergeCell ref="C45:F45"/>
    <mergeCell ref="D17:M17"/>
    <mergeCell ref="C12:M12"/>
    <mergeCell ref="D21:M21"/>
    <mergeCell ref="D22:M22"/>
    <mergeCell ref="I68:J68"/>
    <mergeCell ref="I67:J67"/>
    <mergeCell ref="K67:L67"/>
    <mergeCell ref="K66:L66"/>
    <mergeCell ref="B13:B27"/>
    <mergeCell ref="D29:M29"/>
    <mergeCell ref="B29:B48"/>
    <mergeCell ref="D30:M30"/>
    <mergeCell ref="D35:M35"/>
    <mergeCell ref="D36:M36"/>
    <mergeCell ref="D16:M16"/>
    <mergeCell ref="C28:M28"/>
    <mergeCell ref="D31:M31"/>
    <mergeCell ref="K25:L25"/>
    <mergeCell ref="D14:M14"/>
    <mergeCell ref="E26:F26"/>
    <mergeCell ref="I26:J26"/>
    <mergeCell ref="K26:L26"/>
    <mergeCell ref="E47:F47"/>
    <mergeCell ref="E46:F46"/>
    <mergeCell ref="I46:J46"/>
    <mergeCell ref="D44:M44"/>
    <mergeCell ref="D43:M43"/>
    <mergeCell ref="D41:M41"/>
    <mergeCell ref="C48:D48"/>
    <mergeCell ref="E48:F48"/>
    <mergeCell ref="I48:J48"/>
    <mergeCell ref="C46:D46"/>
    <mergeCell ref="I75:J75"/>
    <mergeCell ref="K75:L75"/>
    <mergeCell ref="C68:D68"/>
    <mergeCell ref="D60:M60"/>
    <mergeCell ref="C26:D26"/>
    <mergeCell ref="D33:M33"/>
    <mergeCell ref="D37:M37"/>
    <mergeCell ref="B70:B76"/>
    <mergeCell ref="D70:M70"/>
    <mergeCell ref="D71:M71"/>
    <mergeCell ref="D64:M64"/>
    <mergeCell ref="D72:M72"/>
    <mergeCell ref="C73:F73"/>
    <mergeCell ref="C74:D74"/>
    <mergeCell ref="E74:F74"/>
    <mergeCell ref="C76:D76"/>
    <mergeCell ref="E76:F76"/>
    <mergeCell ref="I76:J76"/>
    <mergeCell ref="K76:L76"/>
    <mergeCell ref="I74:J74"/>
    <mergeCell ref="K74:L74"/>
    <mergeCell ref="C75:D75"/>
    <mergeCell ref="B50:B68"/>
    <mergeCell ref="D50:M50"/>
    <mergeCell ref="B3:N4"/>
    <mergeCell ref="G74:G76"/>
    <mergeCell ref="N70:N72"/>
    <mergeCell ref="G25:G27"/>
    <mergeCell ref="G46:G48"/>
    <mergeCell ref="C69:M69"/>
    <mergeCell ref="K48:L48"/>
    <mergeCell ref="D52:M52"/>
    <mergeCell ref="D53:M53"/>
    <mergeCell ref="D55:M55"/>
    <mergeCell ref="D56:M56"/>
    <mergeCell ref="D62:M62"/>
    <mergeCell ref="G66:G68"/>
    <mergeCell ref="D34:M34"/>
    <mergeCell ref="C65:F65"/>
    <mergeCell ref="C66:D66"/>
    <mergeCell ref="E66:F66"/>
    <mergeCell ref="I66:J66"/>
    <mergeCell ref="D63:M63"/>
    <mergeCell ref="E75:F75"/>
    <mergeCell ref="E27:F27"/>
    <mergeCell ref="I27:J27"/>
    <mergeCell ref="K27:L27"/>
    <mergeCell ref="C24:F24"/>
  </mergeCells>
  <phoneticPr fontId="33" type="noConversion"/>
  <conditionalFormatting sqref="C23 N29 C29:D30 O29:Q32 R29:S36 C30:N31 D32:N36 C32:C44 O34:Q37 D37:M37 S37 P41:S41 D42:N42 P42 D43:M43 O43:S43 C50:M50 O50 N50:N51 D51:M51 C51:C64 O53:O54 D53:M56 N53:N63 Q55 O56:O57 P56:Q62 D57:D62 O60:O61 P63 D63:M64 O64 C70:N70 P70:S70 O70:O71 D71:M71 C72 P72:R72">
    <cfRule type="expression" dxfId="109" priority="118" stopIfTrue="1">
      <formula>($M$9="Non-Automotive")</formula>
    </cfRule>
  </conditionalFormatting>
  <conditionalFormatting sqref="E25:F25">
    <cfRule type="containsText" dxfId="96" priority="33" operator="containsText" text="Not started">
      <formula>NOT(ISERROR(SEARCH("Not started",E25)))</formula>
    </cfRule>
    <cfRule type="containsText" dxfId="95" priority="32" operator="containsText" text="Launched">
      <formula>NOT(ISERROR(SEARCH("Launched",E25)))</formula>
    </cfRule>
    <cfRule type="containsText" dxfId="94" priority="31" operator="containsText" text="Completed">
      <formula>NOT(ISERROR(SEARCH("Completed",E25)))</formula>
    </cfRule>
    <cfRule type="containsText" dxfId="93" priority="30" operator="containsText" text="Approved">
      <formula>NOT(ISERROR(SEARCH("Approved",E25)))</formula>
    </cfRule>
    <cfRule type="containsText" dxfId="92" priority="29" operator="containsText" text="Rejected">
      <formula>NOT(ISERROR(SEARCH("Rejected",E25)))</formula>
    </cfRule>
    <cfRule type="containsText" dxfId="91" priority="28" operator="containsText" text="Conditional Approved">
      <formula>NOT(ISERROR(SEARCH("Conditional Approved",E25)))</formula>
    </cfRule>
  </conditionalFormatting>
  <conditionalFormatting sqref="E46:F46">
    <cfRule type="containsText" dxfId="90" priority="20" operator="containsText" text="Rejected">
      <formula>NOT(ISERROR(SEARCH("Rejected",E46)))</formula>
    </cfRule>
    <cfRule type="containsText" dxfId="89" priority="21" operator="containsText" text="Approved">
      <formula>NOT(ISERROR(SEARCH("Approved",E46)))</formula>
    </cfRule>
    <cfRule type="containsText" dxfId="88" priority="22" operator="containsText" text="Completed">
      <formula>NOT(ISERROR(SEARCH("Completed",E46)))</formula>
    </cfRule>
    <cfRule type="containsText" dxfId="87" priority="23" operator="containsText" text="Launched">
      <formula>NOT(ISERROR(SEARCH("Launched",E46)))</formula>
    </cfRule>
    <cfRule type="containsText" dxfId="86" priority="24" operator="containsText" text="Not started">
      <formula>NOT(ISERROR(SEARCH("Not started",E46)))</formula>
    </cfRule>
    <cfRule type="containsText" dxfId="85" priority="19" operator="containsText" text="Conditional Approved">
      <formula>NOT(ISERROR(SEARCH("Conditional Approved",E46)))</formula>
    </cfRule>
  </conditionalFormatting>
  <conditionalFormatting sqref="E66:F66">
    <cfRule type="containsText" dxfId="84" priority="6" operator="containsText" text="Not started">
      <formula>NOT(ISERROR(SEARCH("Not started",E66)))</formula>
    </cfRule>
    <cfRule type="containsText" dxfId="83" priority="5" operator="containsText" text="Launched">
      <formula>NOT(ISERROR(SEARCH("Launched",E66)))</formula>
    </cfRule>
    <cfRule type="containsText" dxfId="82" priority="4" operator="containsText" text="Completed">
      <formula>NOT(ISERROR(SEARCH("Completed",E66)))</formula>
    </cfRule>
    <cfRule type="containsText" dxfId="81" priority="3" operator="containsText" text="Approved">
      <formula>NOT(ISERROR(SEARCH("Approved",E66)))</formula>
    </cfRule>
    <cfRule type="containsText" dxfId="80" priority="2" operator="containsText" text="Rejected">
      <formula>NOT(ISERROR(SEARCH("Rejected",E66)))</formula>
    </cfRule>
    <cfRule type="containsText" dxfId="79" priority="1" operator="containsText" text="Conditional Approved">
      <formula>NOT(ISERROR(SEARCH("Conditional Approved",E66)))</formula>
    </cfRule>
  </conditionalFormatting>
  <conditionalFormatting sqref="E74:F74">
    <cfRule type="containsText" dxfId="78" priority="14" operator="containsText" text="Launched">
      <formula>NOT(ISERROR(SEARCH("Launched",E74)))</formula>
    </cfRule>
    <cfRule type="containsText" dxfId="77" priority="13" operator="containsText" text="Completed">
      <formula>NOT(ISERROR(SEARCH("Completed",E74)))</formula>
    </cfRule>
    <cfRule type="containsText" dxfId="76" priority="12" operator="containsText" text="Approved">
      <formula>NOT(ISERROR(SEARCH("Approved",E74)))</formula>
    </cfRule>
    <cfRule type="containsText" dxfId="75" priority="11" operator="containsText" text="Rejected">
      <formula>NOT(ISERROR(SEARCH("Rejected",E74)))</formula>
    </cfRule>
    <cfRule type="containsText" dxfId="74" priority="10" operator="containsText" text="Conditional Approved">
      <formula>NOT(ISERROR(SEARCH("Conditional Approved",E74)))</formula>
    </cfRule>
    <cfRule type="containsText" dxfId="73" priority="15" operator="containsText" text="Not started">
      <formula>NOT(ISERROR(SEARCH("Not started",E74)))</formula>
    </cfRule>
  </conditionalFormatting>
  <conditionalFormatting sqref="P50:S52 R55:S62">
    <cfRule type="expression" dxfId="72" priority="69" stopIfTrue="1">
      <formula>($M$9="Non-Automotive")</formula>
    </cfRule>
  </conditionalFormatting>
  <dataValidations count="2">
    <dataValidation type="list" allowBlank="1" showInputMessage="1" showErrorMessage="1" sqref="H9:K10" xr:uid="{AC0952C4-01E3-472A-B446-A14F43761081}">
      <formula1>$AA$4:$AA$7</formula1>
    </dataValidation>
    <dataValidation allowBlank="1" showInputMessage="1" showErrorMessage="1" sqref="M7:M10" xr:uid="{A5B47F28-F3BF-4AF0-AB42-80C5CBEFC181}"/>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rowBreaks count="1" manualBreakCount="1">
    <brk id="48" min="1" max="25" man="1"/>
  </rowBreaks>
  <drawing r:id="rId2"/>
  <extLst>
    <ext xmlns:x14="http://schemas.microsoft.com/office/spreadsheetml/2009/9/main" uri="{78C0D931-6437-407d-A8EE-F0AAD7539E65}">
      <x14:conditionalFormattings>
        <x14:conditionalFormatting xmlns:xm="http://schemas.microsoft.com/office/excel/2006/main">
          <x14:cfRule type="containsText" priority="35" stopIfTrue="1" operator="containsText" id="{79C110E9-7EC9-4206-A967-3ED4F85A8274}">
            <xm:f>NOT(ISERROR(SEARCH($Z$3,E25)))</xm:f>
            <xm:f>$Z$3</xm:f>
            <x14:dxf>
              <fill>
                <patternFill>
                  <bgColor rgb="FFFFCCCC"/>
                </patternFill>
              </fill>
            </x14:dxf>
          </x14:cfRule>
          <x14:cfRule type="containsText" priority="34" stopIfTrue="1" operator="containsText" id="{AE53FC65-7384-41CE-BEAC-B82F314CE3CC}">
            <xm:f>NOT(ISERROR(SEARCH($Z$4,E25)))</xm:f>
            <xm:f>$Z$4</xm:f>
            <x14:dxf>
              <fill>
                <patternFill>
                  <bgColor rgb="FFFFFF99"/>
                </patternFill>
              </fill>
            </x14:dxf>
          </x14:cfRule>
          <x14:cfRule type="containsText" priority="36" stopIfTrue="1" operator="containsText" id="{BF4DAAA4-E956-4BAD-AE69-E01FECB8307C}">
            <xm:f>NOT(ISERROR(SEARCH(#REF!,E25)))</xm:f>
            <xm:f>#REF!</xm:f>
            <x14:dxf>
              <fill>
                <patternFill>
                  <bgColor theme="9" tint="0.39994506668294322"/>
                </patternFill>
              </fill>
            </x14:dxf>
          </x14:cfRule>
          <xm:sqref>E25</xm:sqref>
        </x14:conditionalFormatting>
        <x14:conditionalFormatting xmlns:xm="http://schemas.microsoft.com/office/excel/2006/main">
          <x14:cfRule type="containsText" priority="27" stopIfTrue="1" operator="containsText" id="{6003169B-4789-4752-ACA0-4E626EC81196}">
            <xm:f>NOT(ISERROR(SEARCH(#REF!,E46)))</xm:f>
            <xm:f>#REF!</xm:f>
            <x14:dxf>
              <fill>
                <patternFill>
                  <bgColor theme="9" tint="0.39994506668294322"/>
                </patternFill>
              </fill>
            </x14:dxf>
          </x14:cfRule>
          <x14:cfRule type="containsText" priority="26" stopIfTrue="1" operator="containsText" id="{299BC9C0-7A6F-4A5E-8389-C34FD863FFB8}">
            <xm:f>NOT(ISERROR(SEARCH($Z$3,E46)))</xm:f>
            <xm:f>$Z$3</xm:f>
            <x14:dxf>
              <fill>
                <patternFill>
                  <bgColor rgb="FFFFCCCC"/>
                </patternFill>
              </fill>
            </x14:dxf>
          </x14:cfRule>
          <x14:cfRule type="containsText" priority="25" stopIfTrue="1" operator="containsText" id="{CC4233D2-36CB-4227-B0D1-7B878C35C2D3}">
            <xm:f>NOT(ISERROR(SEARCH($Z$4,E46)))</xm:f>
            <xm:f>$Z$4</xm:f>
            <x14:dxf>
              <fill>
                <patternFill>
                  <bgColor rgb="FFFFFF99"/>
                </patternFill>
              </fill>
            </x14:dxf>
          </x14:cfRule>
          <xm:sqref>E46</xm:sqref>
        </x14:conditionalFormatting>
        <x14:conditionalFormatting xmlns:xm="http://schemas.microsoft.com/office/excel/2006/main">
          <x14:cfRule type="containsText" priority="7" stopIfTrue="1" operator="containsText" id="{4597B5BC-095B-4F71-A5E1-CFADB8480583}">
            <xm:f>NOT(ISERROR(SEARCH($Z$4,E66)))</xm:f>
            <xm:f>$Z$4</xm:f>
            <x14:dxf>
              <fill>
                <patternFill>
                  <bgColor rgb="FFFFFF99"/>
                </patternFill>
              </fill>
            </x14:dxf>
          </x14:cfRule>
          <x14:cfRule type="containsText" priority="8" stopIfTrue="1" operator="containsText" id="{7F607C1E-D657-40CE-B526-436D6C1174C3}">
            <xm:f>NOT(ISERROR(SEARCH($Z$3,E66)))</xm:f>
            <xm:f>$Z$3</xm:f>
            <x14:dxf>
              <fill>
                <patternFill>
                  <bgColor rgb="FFFFCCCC"/>
                </patternFill>
              </fill>
            </x14:dxf>
          </x14:cfRule>
          <x14:cfRule type="containsText" priority="9" stopIfTrue="1" operator="containsText" id="{F0BC253B-5E70-492B-84FB-6141EAEAFBD7}">
            <xm:f>NOT(ISERROR(SEARCH(#REF!,E66)))</xm:f>
            <xm:f>#REF!</xm:f>
            <x14:dxf>
              <fill>
                <patternFill>
                  <bgColor theme="9" tint="0.39994506668294322"/>
                </patternFill>
              </fill>
            </x14:dxf>
          </x14:cfRule>
          <xm:sqref>E66</xm:sqref>
        </x14:conditionalFormatting>
        <x14:conditionalFormatting xmlns:xm="http://schemas.microsoft.com/office/excel/2006/main">
          <x14:cfRule type="containsText" priority="16" stopIfTrue="1" operator="containsText" id="{8EE7098C-603C-44CF-905B-E23D9A6B7DA8}">
            <xm:f>NOT(ISERROR(SEARCH($Z$4,E74)))</xm:f>
            <xm:f>$Z$4</xm:f>
            <x14:dxf>
              <fill>
                <patternFill>
                  <bgColor rgb="FFFFFF99"/>
                </patternFill>
              </fill>
            </x14:dxf>
          </x14:cfRule>
          <x14:cfRule type="containsText" priority="17" stopIfTrue="1" operator="containsText" id="{D32EC278-6D49-4727-A45F-4BE437438A42}">
            <xm:f>NOT(ISERROR(SEARCH($Z$3,E74)))</xm:f>
            <xm:f>$Z$3</xm:f>
            <x14:dxf>
              <fill>
                <patternFill>
                  <bgColor rgb="FFFFCCCC"/>
                </patternFill>
              </fill>
            </x14:dxf>
          </x14:cfRule>
          <x14:cfRule type="containsText" priority="18" stopIfTrue="1" operator="containsText" id="{F1330CD3-7B1E-4E54-988B-BF6F82E848F0}">
            <xm:f>NOT(ISERROR(SEARCH(#REF!,E74)))</xm:f>
            <xm:f>#REF!</xm:f>
            <x14:dxf>
              <fill>
                <patternFill>
                  <bgColor theme="9" tint="0.39994506668294322"/>
                </patternFill>
              </fill>
            </x14:dxf>
          </x14:cfRule>
          <xm:sqref>E74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58038D4-3EEB-415B-A74D-372372317450}">
          <x14:formula1>
            <xm:f>'0.APQP GRC'!$Y$3:$Y$8</xm:f>
          </x14:formula1>
          <xm:sqref>E74:F74 E25:F25 E46:F46 E66:F66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6B1E-49A9-4613-8EAA-FEEE4BDEF329}">
  <sheetPr codeName="Hoja6">
    <outlinePr summaryBelow="0" summaryRight="0"/>
    <pageSetUpPr fitToPage="1"/>
  </sheetPr>
  <dimension ref="A1:AK85"/>
  <sheetViews>
    <sheetView showGridLines="0" topLeftCell="L8" zoomScaleNormal="100" zoomScaleSheetLayoutView="40" zoomScalePageLayoutView="55" workbookViewId="0">
      <selection activeCell="Q13" sqref="Q13"/>
    </sheetView>
  </sheetViews>
  <sheetFormatPr baseColWidth="10" defaultColWidth="0" defaultRowHeight="0" customHeight="1" zeroHeight="1" outlineLevelRow="1" outlineLevelCol="1" x14ac:dyDescent="0.3"/>
  <cols>
    <col min="1" max="1" width="4.453125" style="3" customWidth="1"/>
    <col min="2" max="2" width="10.54296875" style="3" customWidth="1"/>
    <col min="3" max="5" width="10" style="3" customWidth="1"/>
    <col min="6" max="6" width="12.1796875" style="3" customWidth="1"/>
    <col min="7" max="7" width="19.81640625" style="3" customWidth="1"/>
    <col min="8" max="8" width="11.1796875" style="3" customWidth="1"/>
    <col min="9" max="9" width="8.1796875" style="3" customWidth="1"/>
    <col min="10" max="10" width="66.81640625" style="3" bestFit="1" customWidth="1" outlineLevel="1"/>
    <col min="11" max="11" width="21" style="3" customWidth="1" collapsed="1"/>
    <col min="12" max="13" width="18.81640625" style="3" customWidth="1"/>
    <col min="14" max="14" width="23" style="3" customWidth="1"/>
    <col min="15" max="15" width="18.1796875" style="3" customWidth="1" outlineLevel="1"/>
    <col min="16" max="16" width="75.453125" style="24" customWidth="1" outlineLevel="1"/>
    <col min="17" max="17" width="4.1796875" style="541" customWidth="1" collapsed="1"/>
    <col min="18" max="18" width="20.1796875" style="123" hidden="1" customWidth="1"/>
    <col min="19" max="19" width="12.54296875" style="123" hidden="1" customWidth="1"/>
    <col min="20" max="16384" width="11.54296875" style="123" hidden="1"/>
  </cols>
  <sheetData>
    <row r="1" spans="2:26" ht="15" customHeight="1" x14ac:dyDescent="0.3"/>
    <row r="2" spans="2:26" ht="15" customHeight="1" thickBot="1" x14ac:dyDescent="0.35"/>
    <row r="3" spans="2:26" ht="15" customHeight="1" x14ac:dyDescent="0.3">
      <c r="B3" s="748" t="s">
        <v>421</v>
      </c>
      <c r="C3" s="702"/>
      <c r="D3" s="702"/>
      <c r="E3" s="702"/>
      <c r="F3" s="702"/>
      <c r="G3" s="702"/>
      <c r="H3" s="702"/>
      <c r="I3" s="702"/>
      <c r="J3" s="702"/>
      <c r="K3" s="702"/>
      <c r="L3" s="702"/>
      <c r="M3" s="702"/>
      <c r="N3" s="702"/>
      <c r="O3" s="702"/>
      <c r="P3" s="749"/>
      <c r="Q3" s="501" t="s">
        <v>422</v>
      </c>
      <c r="R3" s="123" t="s">
        <v>3</v>
      </c>
      <c r="S3" s="123" t="s">
        <v>4</v>
      </c>
      <c r="T3" s="123" t="s">
        <v>5</v>
      </c>
      <c r="V3" s="123" t="s">
        <v>6</v>
      </c>
      <c r="X3" s="123" t="s">
        <v>6</v>
      </c>
    </row>
    <row r="4" spans="2:26" ht="58.4" customHeight="1" thickBot="1" x14ac:dyDescent="0.35">
      <c r="B4" s="750"/>
      <c r="C4" s="703"/>
      <c r="D4" s="703"/>
      <c r="E4" s="703"/>
      <c r="F4" s="703"/>
      <c r="G4" s="703"/>
      <c r="H4" s="703"/>
      <c r="I4" s="703"/>
      <c r="J4" s="703"/>
      <c r="K4" s="703"/>
      <c r="L4" s="703"/>
      <c r="M4" s="703"/>
      <c r="N4" s="703"/>
      <c r="O4" s="703"/>
      <c r="P4" s="751"/>
      <c r="Q4" s="501" t="s">
        <v>423</v>
      </c>
      <c r="R4" s="123" t="s">
        <v>8</v>
      </c>
      <c r="S4" s="123" t="s">
        <v>9</v>
      </c>
      <c r="T4" s="123" t="s">
        <v>10</v>
      </c>
      <c r="V4" s="123" t="s">
        <v>11</v>
      </c>
      <c r="X4" s="123" t="s">
        <v>12</v>
      </c>
      <c r="Y4" s="123" t="s">
        <v>3</v>
      </c>
    </row>
    <row r="5" spans="2:26" ht="15" customHeight="1" x14ac:dyDescent="0.3">
      <c r="B5" s="225"/>
      <c r="C5" s="226"/>
      <c r="D5" s="226"/>
      <c r="E5" s="344"/>
      <c r="F5" s="344"/>
      <c r="G5" s="344"/>
      <c r="H5" s="344"/>
      <c r="I5" s="344"/>
      <c r="J5" s="422"/>
      <c r="K5" s="422"/>
      <c r="L5" s="425"/>
      <c r="M5" s="425"/>
      <c r="N5" s="60"/>
      <c r="O5" s="704"/>
      <c r="P5" s="746"/>
      <c r="Q5" s="501" t="s">
        <v>424</v>
      </c>
      <c r="S5" s="123" t="s">
        <v>14</v>
      </c>
      <c r="V5" s="123" t="s">
        <v>15</v>
      </c>
      <c r="X5" s="123" t="s">
        <v>16</v>
      </c>
      <c r="Y5" s="123" t="s">
        <v>534</v>
      </c>
    </row>
    <row r="6" spans="2:26" ht="15" customHeight="1" x14ac:dyDescent="0.45">
      <c r="B6" s="4"/>
      <c r="C6" s="35"/>
      <c r="D6" s="35"/>
      <c r="E6" s="346"/>
      <c r="F6" s="346"/>
      <c r="I6" s="347" t="s">
        <v>17</v>
      </c>
      <c r="J6" s="423" t="str">
        <f>_xlfn.CONCAT('0.APQP GRC'!D6:F6)</f>
        <v>Name Surname</v>
      </c>
      <c r="K6" s="344"/>
      <c r="L6" s="349" t="s">
        <v>19</v>
      </c>
      <c r="M6" s="349"/>
      <c r="N6" s="408" t="str">
        <f>_xlfn.CONCAT('0.APQP GRC'!H6,)</f>
        <v/>
      </c>
      <c r="O6" s="408"/>
      <c r="P6" s="426"/>
      <c r="Q6" s="501" t="s">
        <v>425</v>
      </c>
      <c r="X6" s="123" t="s">
        <v>21</v>
      </c>
    </row>
    <row r="7" spans="2:26" ht="15" customHeight="1" x14ac:dyDescent="0.45">
      <c r="B7" s="4"/>
      <c r="C7" s="35"/>
      <c r="D7" s="35"/>
      <c r="E7" s="346"/>
      <c r="F7" s="346"/>
      <c r="I7" s="347" t="s">
        <v>22</v>
      </c>
      <c r="J7" s="424" t="str">
        <f>_xlfn.CONCAT('0.APQP GRC'!D7:F7)</f>
        <v>X-12345-678</v>
      </c>
      <c r="K7" s="344"/>
      <c r="L7" s="350" t="s">
        <v>24</v>
      </c>
      <c r="M7" s="350"/>
      <c r="N7" s="408" t="str">
        <f>_xlfn.CONCAT('0.APQP GRC'!H7,)</f>
        <v/>
      </c>
      <c r="O7" s="408"/>
      <c r="P7" s="426"/>
      <c r="Q7" s="501" t="s">
        <v>20</v>
      </c>
      <c r="R7" s="124"/>
      <c r="S7" s="124"/>
      <c r="T7" s="124"/>
      <c r="U7" s="124"/>
      <c r="W7" s="124"/>
      <c r="X7" s="123" t="s">
        <v>26</v>
      </c>
      <c r="Y7" s="124"/>
      <c r="Z7" s="124"/>
    </row>
    <row r="8" spans="2:26" ht="15" customHeight="1" x14ac:dyDescent="0.45">
      <c r="B8" s="4"/>
      <c r="C8" s="35"/>
      <c r="D8" s="35"/>
      <c r="E8" s="346"/>
      <c r="F8" s="346"/>
      <c r="I8" s="347" t="s">
        <v>27</v>
      </c>
      <c r="J8" s="424" t="str">
        <f>_xlfn.CONCAT('0.APQP GRC'!D8:F8)</f>
        <v>RT23423AA</v>
      </c>
      <c r="K8" s="344"/>
      <c r="L8" s="351" t="s">
        <v>426</v>
      </c>
      <c r="M8" s="351"/>
      <c r="N8" s="408" t="str">
        <f>_xlfn.CONCAT('0.APQP GRC'!H8,)</f>
        <v>Name of the customer</v>
      </c>
      <c r="O8" s="408"/>
      <c r="P8" s="426"/>
      <c r="Q8" s="501" t="s">
        <v>25</v>
      </c>
      <c r="R8" s="124"/>
      <c r="S8" s="124"/>
      <c r="T8" s="124"/>
      <c r="U8" s="124"/>
      <c r="W8" s="124"/>
      <c r="X8" s="124"/>
      <c r="Y8" s="124"/>
      <c r="Z8" s="124"/>
    </row>
    <row r="9" spans="2:26" ht="15" customHeight="1" x14ac:dyDescent="0.45">
      <c r="B9" s="4"/>
      <c r="C9" s="35"/>
      <c r="D9" s="35"/>
      <c r="E9" s="346"/>
      <c r="F9" s="346"/>
      <c r="I9" s="347" t="s">
        <v>31</v>
      </c>
      <c r="J9" s="424" t="str">
        <f>_xlfn.CONCAT('0.APQP GRC'!D9:F9)</f>
        <v/>
      </c>
      <c r="K9" s="344"/>
      <c r="L9" s="351" t="s">
        <v>32</v>
      </c>
      <c r="M9" s="351"/>
      <c r="N9" s="408" t="str">
        <f>_xlfn.CONCAT('0.APQP GRC'!H9,)</f>
        <v/>
      </c>
      <c r="O9" s="408"/>
      <c r="P9" s="426"/>
      <c r="Q9" s="501"/>
      <c r="R9" s="124"/>
      <c r="S9" s="124"/>
      <c r="T9" s="124"/>
      <c r="U9" s="124"/>
      <c r="V9" s="124"/>
      <c r="W9" s="124"/>
      <c r="X9" s="124"/>
      <c r="Y9" s="124"/>
      <c r="Z9" s="124"/>
    </row>
    <row r="10" spans="2:26" ht="15" customHeight="1" x14ac:dyDescent="0.45">
      <c r="B10" s="4"/>
      <c r="C10" s="35"/>
      <c r="D10" s="35"/>
      <c r="E10" s="346"/>
      <c r="F10" s="346"/>
      <c r="I10" s="347" t="s">
        <v>33</v>
      </c>
      <c r="J10" s="424" t="str">
        <f>_xlfn.CONCAT('0.APQP GRC'!D10:F10)</f>
        <v/>
      </c>
      <c r="K10" s="344"/>
      <c r="L10" s="351" t="s">
        <v>34</v>
      </c>
      <c r="M10" s="351"/>
      <c r="N10" s="408" t="str">
        <f>_xlfn.CONCAT('0.APQP GRC'!H10,)</f>
        <v/>
      </c>
      <c r="O10" s="408"/>
      <c r="P10" s="426"/>
      <c r="Q10" s="501"/>
      <c r="R10" s="124"/>
      <c r="S10" s="124"/>
      <c r="T10" s="124"/>
      <c r="U10" s="124"/>
      <c r="V10" s="124"/>
      <c r="W10" s="124"/>
      <c r="X10" s="124"/>
      <c r="Y10" s="124"/>
      <c r="Z10" s="124"/>
    </row>
    <row r="11" spans="2:26" ht="17" thickBot="1" x14ac:dyDescent="0.35">
      <c r="B11" s="4"/>
      <c r="C11" s="59"/>
      <c r="D11" s="59"/>
      <c r="F11" s="59"/>
      <c r="G11" s="59"/>
      <c r="H11" s="59"/>
      <c r="I11" s="59"/>
      <c r="J11" s="421"/>
      <c r="K11" s="421"/>
      <c r="L11" s="59"/>
      <c r="M11" s="59"/>
      <c r="N11" s="59"/>
      <c r="O11" s="427"/>
      <c r="P11" s="426"/>
      <c r="Q11" s="501"/>
      <c r="R11" s="124"/>
      <c r="S11" s="124"/>
      <c r="T11" s="124"/>
      <c r="U11" s="124"/>
      <c r="V11" s="124"/>
      <c r="W11" s="124"/>
      <c r="X11" s="124"/>
      <c r="Y11" s="124"/>
      <c r="Z11" s="124"/>
    </row>
    <row r="12" spans="2:26" ht="52.4" customHeight="1" thickBot="1" x14ac:dyDescent="0.35">
      <c r="B12" s="485">
        <v>1</v>
      </c>
      <c r="C12" s="486" t="s">
        <v>427</v>
      </c>
      <c r="D12" s="747" t="s">
        <v>428</v>
      </c>
      <c r="E12" s="747"/>
      <c r="F12" s="747"/>
      <c r="G12" s="747"/>
      <c r="H12" s="747"/>
      <c r="I12" s="747"/>
      <c r="J12" s="330" t="s">
        <v>36</v>
      </c>
      <c r="K12" s="331" t="s">
        <v>37</v>
      </c>
      <c r="L12" s="420" t="s">
        <v>38</v>
      </c>
      <c r="M12" s="515" t="s">
        <v>429</v>
      </c>
      <c r="N12" s="332" t="s">
        <v>39</v>
      </c>
      <c r="O12" s="332" t="s">
        <v>40</v>
      </c>
      <c r="P12" s="333" t="s">
        <v>41</v>
      </c>
      <c r="R12" s="124"/>
      <c r="S12" s="124"/>
      <c r="T12" s="124"/>
      <c r="U12" s="124"/>
      <c r="V12" s="124"/>
      <c r="W12" s="124"/>
      <c r="X12" s="124"/>
      <c r="Y12" s="124"/>
      <c r="Z12" s="124"/>
    </row>
    <row r="13" spans="2:26" ht="33" outlineLevel="1" x14ac:dyDescent="0.3">
      <c r="B13" s="760" t="s">
        <v>47</v>
      </c>
      <c r="C13" s="337" t="s">
        <v>48</v>
      </c>
      <c r="D13" s="763" t="s">
        <v>49</v>
      </c>
      <c r="E13" s="764"/>
      <c r="F13" s="764"/>
      <c r="G13" s="764"/>
      <c r="H13" s="764"/>
      <c r="I13" s="764"/>
      <c r="J13" s="338" t="s">
        <v>430</v>
      </c>
      <c r="K13" s="503" t="s">
        <v>422</v>
      </c>
      <c r="L13" s="504"/>
      <c r="M13" s="504"/>
      <c r="N13" s="505"/>
      <c r="O13" s="506"/>
      <c r="P13" s="428" t="s">
        <v>431</v>
      </c>
      <c r="R13" s="124"/>
      <c r="S13" s="124"/>
      <c r="T13" s="124"/>
      <c r="U13" s="124"/>
      <c r="V13" s="124"/>
      <c r="W13" s="124"/>
      <c r="X13" s="124"/>
      <c r="Y13" s="124"/>
      <c r="Z13" s="124"/>
    </row>
    <row r="14" spans="2:26" ht="82.5" outlineLevel="1" x14ac:dyDescent="0.3">
      <c r="B14" s="761"/>
      <c r="C14" s="337" t="s">
        <v>57</v>
      </c>
      <c r="D14" s="730" t="s">
        <v>58</v>
      </c>
      <c r="E14" s="730"/>
      <c r="F14" s="730"/>
      <c r="G14" s="730"/>
      <c r="H14" s="730"/>
      <c r="I14" s="730"/>
      <c r="J14" s="339" t="s">
        <v>59</v>
      </c>
      <c r="K14" s="503" t="s">
        <v>422</v>
      </c>
      <c r="L14" s="507"/>
      <c r="M14" s="507"/>
      <c r="N14" s="508"/>
      <c r="O14" s="509"/>
      <c r="P14" s="429" t="s">
        <v>60</v>
      </c>
      <c r="R14" s="124"/>
      <c r="S14" s="124"/>
      <c r="T14" s="124"/>
      <c r="U14" s="124"/>
      <c r="V14" s="124"/>
      <c r="W14" s="124"/>
      <c r="X14" s="124"/>
      <c r="Y14" s="124"/>
      <c r="Z14" s="124"/>
    </row>
    <row r="15" spans="2:26" ht="86" outlineLevel="1" x14ac:dyDescent="0.3">
      <c r="B15" s="761"/>
      <c r="C15" s="337" t="s">
        <v>62</v>
      </c>
      <c r="D15" s="765" t="s">
        <v>63</v>
      </c>
      <c r="E15" s="765"/>
      <c r="F15" s="765"/>
      <c r="G15" s="765"/>
      <c r="H15" s="765"/>
      <c r="I15" s="765"/>
      <c r="J15" s="340" t="s">
        <v>432</v>
      </c>
      <c r="K15" s="503" t="s">
        <v>422</v>
      </c>
      <c r="L15" s="507"/>
      <c r="M15" s="507"/>
      <c r="N15" s="508"/>
      <c r="O15" s="509"/>
      <c r="P15" s="429" t="s">
        <v>65</v>
      </c>
      <c r="R15" s="124"/>
      <c r="S15" s="124"/>
      <c r="T15" s="124"/>
      <c r="U15" s="124"/>
      <c r="V15" s="124"/>
      <c r="W15" s="124"/>
      <c r="X15" s="124"/>
      <c r="Y15" s="124"/>
      <c r="Z15" s="124"/>
    </row>
    <row r="16" spans="2:26" ht="43" outlineLevel="1" x14ac:dyDescent="0.3">
      <c r="B16" s="761"/>
      <c r="C16" s="337" t="s">
        <v>69</v>
      </c>
      <c r="D16" s="730" t="s">
        <v>70</v>
      </c>
      <c r="E16" s="730"/>
      <c r="F16" s="730"/>
      <c r="G16" s="730"/>
      <c r="H16" s="730"/>
      <c r="I16" s="730"/>
      <c r="J16" s="340" t="s">
        <v>433</v>
      </c>
      <c r="K16" s="503" t="s">
        <v>422</v>
      </c>
      <c r="L16" s="507"/>
      <c r="M16" s="507"/>
      <c r="N16" s="508"/>
      <c r="O16" s="509"/>
      <c r="P16" s="429" t="s">
        <v>72</v>
      </c>
      <c r="R16" s="124"/>
      <c r="S16" s="124"/>
      <c r="T16" s="124"/>
      <c r="U16" s="124"/>
      <c r="V16" s="124"/>
      <c r="W16" s="124"/>
      <c r="X16" s="124"/>
      <c r="Y16" s="124"/>
      <c r="Z16" s="124"/>
    </row>
    <row r="17" spans="2:37" ht="104.25" customHeight="1" outlineLevel="1" x14ac:dyDescent="0.3">
      <c r="B17" s="761"/>
      <c r="C17" s="337" t="s">
        <v>76</v>
      </c>
      <c r="D17" s="765" t="s">
        <v>77</v>
      </c>
      <c r="E17" s="765"/>
      <c r="F17" s="765"/>
      <c r="G17" s="765"/>
      <c r="H17" s="765"/>
      <c r="I17" s="765"/>
      <c r="J17" s="431" t="s">
        <v>434</v>
      </c>
      <c r="K17" s="503" t="s">
        <v>422</v>
      </c>
      <c r="L17" s="507"/>
      <c r="M17" s="507"/>
      <c r="N17" s="508"/>
      <c r="O17" s="509"/>
      <c r="P17" s="429" t="s">
        <v>79</v>
      </c>
      <c r="R17" s="124"/>
      <c r="S17" s="124"/>
      <c r="T17" s="124"/>
      <c r="U17" s="124"/>
      <c r="V17" s="124"/>
      <c r="W17" s="124"/>
      <c r="X17" s="124"/>
      <c r="Y17" s="124"/>
      <c r="Z17" s="124"/>
    </row>
    <row r="18" spans="2:37" ht="82.5" outlineLevel="1" x14ac:dyDescent="0.3">
      <c r="B18" s="761"/>
      <c r="C18" s="337" t="s">
        <v>83</v>
      </c>
      <c r="D18" s="730" t="s">
        <v>84</v>
      </c>
      <c r="E18" s="730"/>
      <c r="F18" s="730"/>
      <c r="G18" s="730"/>
      <c r="H18" s="730"/>
      <c r="I18" s="730"/>
      <c r="J18" s="339" t="s">
        <v>85</v>
      </c>
      <c r="K18" s="503" t="s">
        <v>422</v>
      </c>
      <c r="L18" s="507"/>
      <c r="M18" s="507"/>
      <c r="N18" s="508"/>
      <c r="O18" s="509"/>
      <c r="P18" s="429" t="s">
        <v>86</v>
      </c>
      <c r="R18" s="124"/>
      <c r="S18" s="124"/>
      <c r="T18" s="124"/>
      <c r="U18" s="124"/>
      <c r="V18" s="124"/>
      <c r="W18" s="124"/>
      <c r="X18" s="124"/>
      <c r="Y18" s="124"/>
      <c r="Z18" s="124"/>
    </row>
    <row r="19" spans="2:37" ht="132" outlineLevel="1" x14ac:dyDescent="0.3">
      <c r="B19" s="761"/>
      <c r="C19" s="337" t="s">
        <v>90</v>
      </c>
      <c r="D19" s="730" t="s">
        <v>91</v>
      </c>
      <c r="E19" s="730"/>
      <c r="F19" s="730"/>
      <c r="G19" s="730"/>
      <c r="H19" s="730"/>
      <c r="I19" s="730"/>
      <c r="J19" s="339" t="s">
        <v>92</v>
      </c>
      <c r="K19" s="503" t="s">
        <v>422</v>
      </c>
      <c r="L19" s="507"/>
      <c r="M19" s="507"/>
      <c r="N19" s="508"/>
      <c r="O19" s="509"/>
      <c r="P19" s="429" t="s">
        <v>93</v>
      </c>
      <c r="R19" s="124"/>
      <c r="S19" s="124"/>
      <c r="T19" s="124"/>
      <c r="U19" s="124"/>
      <c r="V19" s="124"/>
      <c r="W19" s="124"/>
      <c r="X19" s="124"/>
      <c r="Y19" s="124"/>
      <c r="Z19" s="124"/>
    </row>
    <row r="20" spans="2:37" ht="82.5" outlineLevel="1" x14ac:dyDescent="0.3">
      <c r="B20" s="761"/>
      <c r="C20" s="337" t="s">
        <v>98</v>
      </c>
      <c r="D20" s="730" t="s">
        <v>99</v>
      </c>
      <c r="E20" s="730"/>
      <c r="F20" s="730"/>
      <c r="G20" s="730"/>
      <c r="H20" s="730"/>
      <c r="I20" s="730"/>
      <c r="J20" s="340" t="s">
        <v>435</v>
      </c>
      <c r="K20" s="503" t="s">
        <v>422</v>
      </c>
      <c r="L20" s="507"/>
      <c r="M20" s="507"/>
      <c r="N20" s="508"/>
      <c r="O20" s="509"/>
      <c r="P20" s="429" t="s">
        <v>101</v>
      </c>
      <c r="R20" s="124"/>
      <c r="S20" s="124"/>
      <c r="T20" s="124"/>
      <c r="U20" s="124"/>
      <c r="V20" s="124"/>
      <c r="W20" s="124"/>
      <c r="X20" s="124"/>
      <c r="Y20" s="124"/>
      <c r="Z20" s="124"/>
    </row>
    <row r="21" spans="2:37" ht="21.5" outlineLevel="1" x14ac:dyDescent="0.3">
      <c r="B21" s="761"/>
      <c r="C21" s="337" t="s">
        <v>104</v>
      </c>
      <c r="D21" s="730" t="s">
        <v>105</v>
      </c>
      <c r="E21" s="730"/>
      <c r="F21" s="730"/>
      <c r="G21" s="730"/>
      <c r="H21" s="730"/>
      <c r="I21" s="730"/>
      <c r="J21" s="340" t="s">
        <v>106</v>
      </c>
      <c r="K21" s="503" t="s">
        <v>422</v>
      </c>
      <c r="L21" s="507"/>
      <c r="M21" s="507"/>
      <c r="N21" s="508"/>
      <c r="O21" s="509"/>
      <c r="P21" s="429" t="s">
        <v>107</v>
      </c>
      <c r="R21" s="124"/>
      <c r="S21" s="124"/>
      <c r="T21" s="124"/>
      <c r="U21" s="124"/>
      <c r="V21" s="124"/>
      <c r="W21" s="124"/>
      <c r="X21" s="124"/>
      <c r="Y21" s="124"/>
      <c r="Z21" s="124"/>
    </row>
    <row r="22" spans="2:37" ht="112.5" customHeight="1" outlineLevel="1" x14ac:dyDescent="0.3">
      <c r="B22" s="761"/>
      <c r="C22" s="337" t="s">
        <v>110</v>
      </c>
      <c r="D22" s="766" t="s">
        <v>111</v>
      </c>
      <c r="E22" s="766"/>
      <c r="F22" s="766"/>
      <c r="G22" s="766"/>
      <c r="H22" s="766"/>
      <c r="I22" s="766"/>
      <c r="J22" s="341" t="s">
        <v>436</v>
      </c>
      <c r="K22" s="503" t="s">
        <v>422</v>
      </c>
      <c r="L22" s="507"/>
      <c r="M22" s="507"/>
      <c r="N22" s="508"/>
      <c r="O22" s="509"/>
      <c r="P22" s="429" t="s">
        <v>437</v>
      </c>
      <c r="R22" s="124"/>
      <c r="S22" s="124"/>
      <c r="T22" s="124"/>
      <c r="U22" s="124"/>
      <c r="V22" s="124"/>
      <c r="W22" s="124"/>
      <c r="X22" s="124"/>
      <c r="Y22" s="124"/>
      <c r="Z22" s="124"/>
    </row>
    <row r="23" spans="2:37" ht="132.5" outlineLevel="1" thickBot="1" x14ac:dyDescent="0.35">
      <c r="B23" s="761"/>
      <c r="C23" s="342" t="s">
        <v>117</v>
      </c>
      <c r="D23" s="731" t="s">
        <v>118</v>
      </c>
      <c r="E23" s="731"/>
      <c r="F23" s="731"/>
      <c r="G23" s="731"/>
      <c r="H23" s="731"/>
      <c r="I23" s="731"/>
      <c r="J23" s="343" t="s">
        <v>438</v>
      </c>
      <c r="K23" s="503" t="s">
        <v>422</v>
      </c>
      <c r="L23" s="510"/>
      <c r="M23" s="510"/>
      <c r="N23" s="511"/>
      <c r="O23" s="502"/>
      <c r="P23" s="430" t="s">
        <v>120</v>
      </c>
      <c r="R23" s="124"/>
      <c r="S23" s="124"/>
      <c r="T23" s="124"/>
      <c r="U23" s="124"/>
      <c r="V23" s="124"/>
      <c r="W23" s="124"/>
      <c r="X23" s="124"/>
      <c r="Y23" s="124"/>
      <c r="Z23" s="124"/>
    </row>
    <row r="24" spans="2:37" ht="24.75" customHeight="1" outlineLevel="1" thickBot="1" x14ac:dyDescent="0.35">
      <c r="B24" s="761"/>
      <c r="C24" s="732" t="s">
        <v>122</v>
      </c>
      <c r="D24" s="733"/>
      <c r="E24" s="733"/>
      <c r="F24" s="734"/>
      <c r="G24" s="477" t="s">
        <v>123</v>
      </c>
      <c r="H24" s="740"/>
      <c r="I24" s="741"/>
      <c r="J24" s="520"/>
      <c r="K24" s="520"/>
      <c r="L24" s="520"/>
      <c r="M24" s="520"/>
      <c r="N24" s="520"/>
      <c r="O24" s="520"/>
      <c r="P24" s="521"/>
      <c r="Q24" s="542"/>
    </row>
    <row r="25" spans="2:37" ht="21.5" outlineLevel="1" x14ac:dyDescent="0.3">
      <c r="B25" s="761"/>
      <c r="C25" s="735" t="s">
        <v>124</v>
      </c>
      <c r="D25" s="736"/>
      <c r="E25" s="576" t="s">
        <v>2</v>
      </c>
      <c r="F25" s="577"/>
      <c r="G25" s="737" t="s">
        <v>53</v>
      </c>
      <c r="H25" s="742"/>
      <c r="I25" s="743"/>
      <c r="J25" s="522"/>
      <c r="K25" s="522"/>
      <c r="L25" s="522"/>
      <c r="M25" s="522"/>
      <c r="N25" s="523"/>
      <c r="O25" s="522"/>
      <c r="P25" s="524"/>
      <c r="Q25" s="542"/>
    </row>
    <row r="26" spans="2:37" ht="15" customHeight="1" outlineLevel="1" x14ac:dyDescent="0.3">
      <c r="B26" s="761"/>
      <c r="C26" s="756" t="s">
        <v>125</v>
      </c>
      <c r="D26" s="757"/>
      <c r="E26" s="758"/>
      <c r="F26" s="759"/>
      <c r="G26" s="738"/>
      <c r="H26" s="742"/>
      <c r="I26" s="743"/>
      <c r="J26" s="522"/>
      <c r="K26" s="522"/>
      <c r="L26" s="522"/>
      <c r="M26" s="522"/>
      <c r="N26" s="522"/>
      <c r="O26" s="522"/>
      <c r="P26" s="524"/>
      <c r="Q26" s="542"/>
    </row>
    <row r="27" spans="2:37" ht="15" customHeight="1" outlineLevel="1" thickBot="1" x14ac:dyDescent="0.35">
      <c r="B27" s="762"/>
      <c r="C27" s="752" t="s">
        <v>126</v>
      </c>
      <c r="D27" s="753"/>
      <c r="E27" s="754"/>
      <c r="F27" s="755"/>
      <c r="G27" s="739"/>
      <c r="H27" s="744"/>
      <c r="I27" s="745"/>
      <c r="J27" s="525"/>
      <c r="K27" s="525"/>
      <c r="L27" s="525"/>
      <c r="M27" s="525"/>
      <c r="N27" s="525"/>
      <c r="O27" s="525"/>
      <c r="P27" s="526"/>
      <c r="Q27" s="542"/>
    </row>
    <row r="28" spans="2:37" ht="15" customHeight="1" thickBot="1" x14ac:dyDescent="0.35"/>
    <row r="29" spans="2:37" ht="21.65" customHeight="1" thickTop="1" x14ac:dyDescent="0.3">
      <c r="C29" s="724" t="s">
        <v>710</v>
      </c>
      <c r="D29" s="725"/>
      <c r="E29" s="725"/>
      <c r="F29" s="725"/>
      <c r="G29" s="725"/>
      <c r="H29" s="725"/>
      <c r="I29" s="725"/>
      <c r="J29" s="725"/>
      <c r="K29" s="725"/>
      <c r="L29" s="725"/>
      <c r="M29" s="725"/>
      <c r="N29" s="725"/>
      <c r="O29" s="725"/>
      <c r="P29" s="726"/>
    </row>
    <row r="30" spans="2:37" s="527" customFormat="1" ht="20.5" customHeight="1" x14ac:dyDescent="0.35">
      <c r="C30" s="530" t="s">
        <v>427</v>
      </c>
      <c r="D30" s="727" t="s">
        <v>711</v>
      </c>
      <c r="E30" s="727"/>
      <c r="F30" s="531" t="s">
        <v>712</v>
      </c>
      <c r="G30" s="531" t="s">
        <v>715</v>
      </c>
      <c r="H30" s="531" t="s">
        <v>713</v>
      </c>
      <c r="I30" s="728" t="s">
        <v>714</v>
      </c>
      <c r="J30" s="728"/>
      <c r="K30" s="728"/>
      <c r="L30" s="728"/>
      <c r="M30" s="728"/>
      <c r="N30" s="728"/>
      <c r="O30" s="728"/>
      <c r="P30" s="729"/>
      <c r="Q30" s="543"/>
      <c r="R30" s="528"/>
      <c r="S30" s="528"/>
      <c r="T30" s="528"/>
      <c r="U30" s="528"/>
      <c r="V30" s="528"/>
      <c r="W30" s="528"/>
      <c r="X30" s="528"/>
      <c r="Y30" s="528"/>
      <c r="Z30" s="528"/>
      <c r="AA30" s="528"/>
      <c r="AB30" s="528"/>
      <c r="AC30" s="528"/>
      <c r="AD30" s="528"/>
      <c r="AE30" s="528"/>
      <c r="AF30" s="528"/>
      <c r="AG30" s="528"/>
      <c r="AH30" s="528"/>
      <c r="AI30" s="528"/>
      <c r="AJ30" s="528"/>
      <c r="AK30" s="528"/>
    </row>
    <row r="31" spans="2:37" s="527" customFormat="1" ht="20.5" customHeight="1" x14ac:dyDescent="0.35">
      <c r="C31" s="529">
        <v>1</v>
      </c>
      <c r="D31" s="723"/>
      <c r="E31" s="723"/>
      <c r="F31" s="176"/>
      <c r="G31" s="176"/>
      <c r="H31" s="176"/>
      <c r="I31" s="718"/>
      <c r="J31" s="719"/>
      <c r="K31" s="719"/>
      <c r="L31" s="719"/>
      <c r="M31" s="719"/>
      <c r="N31" s="719"/>
      <c r="O31" s="719"/>
      <c r="P31" s="720"/>
      <c r="Q31" s="543"/>
      <c r="R31" s="528"/>
      <c r="S31" s="528"/>
      <c r="T31" s="528"/>
      <c r="U31" s="528"/>
      <c r="V31" s="528"/>
      <c r="W31" s="528"/>
      <c r="X31" s="528"/>
      <c r="Y31" s="528"/>
      <c r="Z31" s="528"/>
      <c r="AA31" s="528"/>
      <c r="AB31" s="528"/>
      <c r="AC31" s="528"/>
      <c r="AD31" s="528"/>
      <c r="AE31" s="528"/>
      <c r="AF31" s="528"/>
      <c r="AG31" s="528"/>
      <c r="AH31" s="528"/>
      <c r="AI31" s="528"/>
      <c r="AJ31" s="528"/>
      <c r="AK31" s="528"/>
    </row>
    <row r="32" spans="2:37" s="527" customFormat="1" ht="20.5" customHeight="1" x14ac:dyDescent="0.35">
      <c r="C32" s="529">
        <v>2</v>
      </c>
      <c r="D32" s="723"/>
      <c r="E32" s="723"/>
      <c r="F32" s="176"/>
      <c r="G32" s="176"/>
      <c r="H32" s="176"/>
      <c r="I32" s="718"/>
      <c r="J32" s="719"/>
      <c r="K32" s="719"/>
      <c r="L32" s="719"/>
      <c r="M32" s="719"/>
      <c r="N32" s="719"/>
      <c r="O32" s="719"/>
      <c r="P32" s="720"/>
      <c r="Q32" s="543"/>
      <c r="R32" s="528"/>
      <c r="S32" s="528"/>
      <c r="T32" s="528"/>
      <c r="U32" s="528"/>
      <c r="V32" s="528"/>
      <c r="W32" s="528"/>
      <c r="X32" s="528"/>
      <c r="Y32" s="528"/>
      <c r="Z32" s="528"/>
      <c r="AA32" s="528"/>
      <c r="AB32" s="528"/>
      <c r="AC32" s="528"/>
      <c r="AD32" s="528"/>
      <c r="AE32" s="528"/>
      <c r="AF32" s="528"/>
      <c r="AG32" s="528"/>
      <c r="AH32" s="528"/>
      <c r="AI32" s="528"/>
      <c r="AJ32" s="528"/>
      <c r="AK32" s="528"/>
    </row>
    <row r="33" spans="3:37" s="527" customFormat="1" ht="20.5" customHeight="1" x14ac:dyDescent="0.35">
      <c r="C33" s="529">
        <v>3</v>
      </c>
      <c r="D33" s="723"/>
      <c r="E33" s="723"/>
      <c r="F33" s="176"/>
      <c r="G33" s="176"/>
      <c r="H33" s="176"/>
      <c r="I33" s="718"/>
      <c r="J33" s="719"/>
      <c r="K33" s="719"/>
      <c r="L33" s="719"/>
      <c r="M33" s="719"/>
      <c r="N33" s="719"/>
      <c r="O33" s="719"/>
      <c r="P33" s="720"/>
      <c r="Q33" s="543"/>
      <c r="R33" s="528"/>
      <c r="S33" s="528"/>
      <c r="T33" s="528"/>
      <c r="U33" s="528"/>
      <c r="V33" s="528"/>
      <c r="W33" s="528"/>
      <c r="X33" s="528"/>
      <c r="Y33" s="528"/>
      <c r="Z33" s="528"/>
      <c r="AA33" s="528"/>
      <c r="AB33" s="528"/>
      <c r="AC33" s="528"/>
      <c r="AD33" s="528"/>
      <c r="AE33" s="528"/>
      <c r="AF33" s="528"/>
      <c r="AG33" s="528"/>
      <c r="AH33" s="528"/>
      <c r="AI33" s="528"/>
      <c r="AJ33" s="528"/>
      <c r="AK33" s="528"/>
    </row>
    <row r="34" spans="3:37" s="527" customFormat="1" ht="20.5" customHeight="1" x14ac:dyDescent="0.35">
      <c r="C34" s="529">
        <v>4</v>
      </c>
      <c r="D34" s="723"/>
      <c r="E34" s="723"/>
      <c r="F34" s="176"/>
      <c r="G34" s="176"/>
      <c r="H34" s="176"/>
      <c r="I34" s="718"/>
      <c r="J34" s="719"/>
      <c r="K34" s="719"/>
      <c r="L34" s="719"/>
      <c r="M34" s="719"/>
      <c r="N34" s="719"/>
      <c r="O34" s="719"/>
      <c r="P34" s="720"/>
      <c r="Q34" s="543"/>
      <c r="R34" s="528"/>
      <c r="S34" s="528"/>
      <c r="T34" s="528"/>
      <c r="U34" s="528"/>
      <c r="V34" s="528"/>
      <c r="W34" s="528"/>
      <c r="X34" s="528"/>
      <c r="Y34" s="528"/>
      <c r="Z34" s="528"/>
      <c r="AA34" s="528"/>
      <c r="AB34" s="528"/>
      <c r="AC34" s="528"/>
      <c r="AD34" s="528"/>
      <c r="AE34" s="528"/>
      <c r="AF34" s="528"/>
      <c r="AG34" s="528"/>
      <c r="AH34" s="528"/>
      <c r="AI34" s="528"/>
      <c r="AJ34" s="528"/>
      <c r="AK34" s="528"/>
    </row>
    <row r="35" spans="3:37" s="527" customFormat="1" ht="20.5" customHeight="1" x14ac:dyDescent="0.35">
      <c r="C35" s="529">
        <v>5</v>
      </c>
      <c r="D35" s="723"/>
      <c r="E35" s="723"/>
      <c r="F35" s="176"/>
      <c r="G35" s="176"/>
      <c r="H35" s="176"/>
      <c r="I35" s="718"/>
      <c r="J35" s="719"/>
      <c r="K35" s="719"/>
      <c r="L35" s="719"/>
      <c r="M35" s="719"/>
      <c r="N35" s="719"/>
      <c r="O35" s="719"/>
      <c r="P35" s="720"/>
      <c r="Q35" s="543"/>
      <c r="R35" s="528"/>
      <c r="S35" s="528"/>
      <c r="T35" s="528"/>
      <c r="U35" s="528"/>
      <c r="V35" s="528"/>
      <c r="W35" s="528"/>
      <c r="X35" s="528"/>
      <c r="Y35" s="528"/>
      <c r="Z35" s="528"/>
      <c r="AA35" s="528"/>
      <c r="AB35" s="528"/>
      <c r="AC35" s="528"/>
      <c r="AD35" s="528"/>
      <c r="AE35" s="528"/>
      <c r="AF35" s="528"/>
      <c r="AG35" s="528"/>
      <c r="AH35" s="528"/>
      <c r="AI35" s="528"/>
      <c r="AJ35" s="528"/>
      <c r="AK35" s="528"/>
    </row>
    <row r="36" spans="3:37" s="527" customFormat="1" ht="20.5" customHeight="1" x14ac:dyDescent="0.35">
      <c r="C36" s="529">
        <v>6</v>
      </c>
      <c r="D36" s="723"/>
      <c r="E36" s="723"/>
      <c r="F36" s="176"/>
      <c r="G36" s="176"/>
      <c r="H36" s="176"/>
      <c r="I36" s="718"/>
      <c r="J36" s="719"/>
      <c r="K36" s="719"/>
      <c r="L36" s="719"/>
      <c r="M36" s="719"/>
      <c r="N36" s="719"/>
      <c r="O36" s="719"/>
      <c r="P36" s="720"/>
      <c r="Q36" s="543"/>
      <c r="R36" s="528"/>
      <c r="S36" s="528"/>
      <c r="T36" s="528"/>
      <c r="U36" s="528"/>
      <c r="V36" s="528"/>
      <c r="W36" s="528"/>
      <c r="X36" s="528"/>
      <c r="Y36" s="528"/>
      <c r="Z36" s="528"/>
      <c r="AA36" s="528"/>
      <c r="AB36" s="528"/>
      <c r="AC36" s="528"/>
      <c r="AD36" s="528"/>
      <c r="AE36" s="528"/>
      <c r="AF36" s="528"/>
      <c r="AG36" s="528"/>
      <c r="AH36" s="528"/>
      <c r="AI36" s="528"/>
      <c r="AJ36" s="528"/>
      <c r="AK36" s="528"/>
    </row>
    <row r="37" spans="3:37" s="527" customFormat="1" ht="20.5" customHeight="1" x14ac:dyDescent="0.35">
      <c r="C37" s="529">
        <v>7</v>
      </c>
      <c r="D37" s="723"/>
      <c r="E37" s="723"/>
      <c r="F37" s="176"/>
      <c r="G37" s="176"/>
      <c r="H37" s="176"/>
      <c r="I37" s="718"/>
      <c r="J37" s="719"/>
      <c r="K37" s="719"/>
      <c r="L37" s="719"/>
      <c r="M37" s="719"/>
      <c r="N37" s="719"/>
      <c r="O37" s="719"/>
      <c r="P37" s="720"/>
      <c r="Q37" s="543"/>
      <c r="R37" s="528"/>
      <c r="S37" s="528"/>
      <c r="T37" s="528"/>
      <c r="U37" s="528"/>
      <c r="V37" s="528"/>
      <c r="W37" s="528"/>
      <c r="X37" s="528"/>
      <c r="Y37" s="528"/>
      <c r="Z37" s="528"/>
      <c r="AA37" s="528"/>
      <c r="AB37" s="528"/>
      <c r="AC37" s="528"/>
      <c r="AD37" s="528"/>
      <c r="AE37" s="528"/>
      <c r="AF37" s="528"/>
      <c r="AG37" s="528"/>
      <c r="AH37" s="528"/>
      <c r="AI37" s="528"/>
      <c r="AJ37" s="528"/>
      <c r="AK37" s="528"/>
    </row>
    <row r="38" spans="3:37" s="527" customFormat="1" ht="20.5" customHeight="1" x14ac:dyDescent="0.35">
      <c r="C38" s="529">
        <v>8</v>
      </c>
      <c r="D38" s="723"/>
      <c r="E38" s="723"/>
      <c r="F38" s="176"/>
      <c r="G38" s="176"/>
      <c r="H38" s="176"/>
      <c r="I38" s="718"/>
      <c r="J38" s="719"/>
      <c r="K38" s="719"/>
      <c r="L38" s="719"/>
      <c r="M38" s="719"/>
      <c r="N38" s="719"/>
      <c r="O38" s="719"/>
      <c r="P38" s="720"/>
      <c r="Q38" s="543"/>
      <c r="R38" s="528"/>
      <c r="S38" s="528"/>
      <c r="T38" s="528"/>
      <c r="U38" s="528"/>
      <c r="V38" s="528"/>
      <c r="W38" s="528"/>
      <c r="X38" s="528"/>
      <c r="Y38" s="528"/>
      <c r="Z38" s="528"/>
      <c r="AA38" s="528"/>
      <c r="AB38" s="528"/>
      <c r="AC38" s="528"/>
      <c r="AD38" s="528"/>
      <c r="AE38" s="528"/>
      <c r="AF38" s="528"/>
      <c r="AG38" s="528"/>
      <c r="AH38" s="528"/>
      <c r="AI38" s="528"/>
      <c r="AJ38" s="528"/>
      <c r="AK38" s="528"/>
    </row>
    <row r="39" spans="3:37" s="527" customFormat="1" ht="20.5" customHeight="1" x14ac:dyDescent="0.35">
      <c r="C39" s="529">
        <v>9</v>
      </c>
      <c r="D39" s="723"/>
      <c r="E39" s="723"/>
      <c r="F39" s="176"/>
      <c r="G39" s="176"/>
      <c r="H39" s="176"/>
      <c r="I39" s="718"/>
      <c r="J39" s="719"/>
      <c r="K39" s="719"/>
      <c r="L39" s="719"/>
      <c r="M39" s="719"/>
      <c r="N39" s="719"/>
      <c r="O39" s="719"/>
      <c r="P39" s="720"/>
      <c r="Q39" s="543"/>
      <c r="R39" s="528"/>
      <c r="S39" s="528"/>
      <c r="T39" s="528"/>
      <c r="U39" s="528"/>
      <c r="V39" s="528"/>
      <c r="W39" s="528"/>
      <c r="X39" s="528"/>
      <c r="Y39" s="528"/>
      <c r="Z39" s="528"/>
      <c r="AA39" s="528"/>
      <c r="AB39" s="528"/>
      <c r="AC39" s="528"/>
      <c r="AD39" s="528"/>
      <c r="AE39" s="528"/>
      <c r="AF39" s="528"/>
      <c r="AG39" s="528"/>
      <c r="AH39" s="528"/>
      <c r="AI39" s="528"/>
      <c r="AJ39" s="528"/>
      <c r="AK39" s="528"/>
    </row>
    <row r="40" spans="3:37" s="527" customFormat="1" ht="20.5" customHeight="1" thickBot="1" x14ac:dyDescent="0.4">
      <c r="C40" s="532">
        <v>10</v>
      </c>
      <c r="D40" s="716"/>
      <c r="E40" s="717"/>
      <c r="F40" s="533"/>
      <c r="G40" s="533"/>
      <c r="H40" s="533"/>
      <c r="I40" s="716"/>
      <c r="J40" s="721"/>
      <c r="K40" s="721"/>
      <c r="L40" s="721"/>
      <c r="M40" s="721"/>
      <c r="N40" s="721"/>
      <c r="O40" s="721"/>
      <c r="P40" s="722"/>
      <c r="Q40" s="543"/>
      <c r="R40" s="528"/>
      <c r="S40" s="528"/>
      <c r="T40" s="528"/>
      <c r="U40" s="528"/>
      <c r="V40" s="528"/>
      <c r="W40" s="528"/>
      <c r="X40" s="528"/>
      <c r="Y40" s="528"/>
      <c r="Z40" s="528"/>
      <c r="AA40" s="528"/>
      <c r="AB40" s="528"/>
      <c r="AC40" s="528"/>
      <c r="AD40" s="528"/>
      <c r="AE40" s="528"/>
      <c r="AF40" s="528"/>
      <c r="AG40" s="528"/>
      <c r="AH40" s="528"/>
      <c r="AI40" s="528"/>
      <c r="AJ40" s="528"/>
      <c r="AK40" s="528"/>
    </row>
    <row r="41" spans="3:37" s="3" customFormat="1" ht="15" customHeight="1" thickTop="1" x14ac:dyDescent="0.3">
      <c r="P41" s="24"/>
      <c r="Q41" s="541"/>
      <c r="R41" s="123"/>
      <c r="S41" s="123"/>
      <c r="T41" s="123"/>
      <c r="U41" s="123"/>
      <c r="V41" s="123"/>
      <c r="W41" s="123"/>
      <c r="X41" s="123"/>
      <c r="Y41" s="123"/>
      <c r="Z41" s="123"/>
      <c r="AA41" s="123"/>
      <c r="AB41" s="123"/>
      <c r="AC41" s="123"/>
      <c r="AD41" s="123"/>
      <c r="AE41" s="123"/>
      <c r="AF41" s="123"/>
      <c r="AG41" s="123"/>
      <c r="AH41" s="123"/>
      <c r="AI41" s="123"/>
      <c r="AJ41" s="123"/>
      <c r="AK41" s="123"/>
    </row>
    <row r="42" spans="3:37" s="3" customFormat="1" ht="15" customHeight="1" x14ac:dyDescent="0.3">
      <c r="P42" s="24"/>
      <c r="Q42" s="541"/>
      <c r="R42" s="123"/>
      <c r="S42" s="123"/>
      <c r="T42" s="123"/>
      <c r="U42" s="123"/>
      <c r="V42" s="123"/>
      <c r="W42" s="123"/>
      <c r="X42" s="123"/>
      <c r="Y42" s="123"/>
      <c r="Z42" s="123"/>
      <c r="AA42" s="123"/>
      <c r="AB42" s="123"/>
      <c r="AC42" s="123"/>
      <c r="AD42" s="123"/>
      <c r="AE42" s="123"/>
      <c r="AF42" s="123"/>
      <c r="AG42" s="123"/>
      <c r="AH42" s="123"/>
      <c r="AI42" s="123"/>
      <c r="AJ42" s="123"/>
      <c r="AK42" s="123"/>
    </row>
    <row r="43" spans="3:37" s="3" customFormat="1" ht="15" customHeight="1" x14ac:dyDescent="0.3">
      <c r="P43" s="24"/>
      <c r="Q43" s="541"/>
      <c r="R43" s="123"/>
      <c r="S43" s="123"/>
      <c r="T43" s="123"/>
      <c r="U43" s="123"/>
      <c r="V43" s="123"/>
      <c r="W43" s="123"/>
      <c r="X43" s="123"/>
      <c r="Y43" s="123"/>
      <c r="Z43" s="123"/>
      <c r="AA43" s="123"/>
      <c r="AB43" s="123"/>
      <c r="AC43" s="123"/>
      <c r="AD43" s="123"/>
      <c r="AE43" s="123"/>
      <c r="AF43" s="123"/>
      <c r="AG43" s="123"/>
      <c r="AH43" s="123"/>
      <c r="AI43" s="123"/>
      <c r="AJ43" s="123"/>
      <c r="AK43" s="123"/>
    </row>
    <row r="44" spans="3:37" s="3" customFormat="1" ht="15" customHeight="1" x14ac:dyDescent="0.3">
      <c r="P44" s="24"/>
      <c r="Q44" s="541"/>
      <c r="R44" s="123"/>
      <c r="S44" s="123"/>
      <c r="T44" s="123"/>
      <c r="U44" s="123"/>
      <c r="V44" s="123"/>
      <c r="W44" s="123"/>
      <c r="X44" s="123"/>
      <c r="Y44" s="123"/>
      <c r="Z44" s="123"/>
      <c r="AA44" s="123"/>
      <c r="AB44" s="123"/>
      <c r="AC44" s="123"/>
      <c r="AD44" s="123"/>
      <c r="AE44" s="123"/>
      <c r="AF44" s="123"/>
      <c r="AG44" s="123"/>
      <c r="AH44" s="123"/>
      <c r="AI44" s="123"/>
      <c r="AJ44" s="123"/>
      <c r="AK44" s="123"/>
    </row>
    <row r="45" spans="3:37" s="3" customFormat="1" ht="15" customHeight="1" x14ac:dyDescent="0.3">
      <c r="P45" s="24"/>
      <c r="Q45" s="541"/>
      <c r="R45" s="123"/>
      <c r="S45" s="123"/>
      <c r="T45" s="123"/>
      <c r="U45" s="123"/>
      <c r="V45" s="123"/>
      <c r="W45" s="123"/>
      <c r="X45" s="123"/>
      <c r="Y45" s="123"/>
      <c r="Z45" s="123"/>
      <c r="AA45" s="123"/>
      <c r="AB45" s="123"/>
      <c r="AC45" s="123"/>
      <c r="AD45" s="123"/>
      <c r="AE45" s="123"/>
      <c r="AF45" s="123"/>
      <c r="AG45" s="123"/>
      <c r="AH45" s="123"/>
      <c r="AI45" s="123"/>
      <c r="AJ45" s="123"/>
      <c r="AK45" s="123"/>
    </row>
    <row r="46" spans="3:37" s="3" customFormat="1" ht="15" customHeight="1" x14ac:dyDescent="0.3">
      <c r="P46" s="24"/>
      <c r="Q46" s="541"/>
      <c r="R46" s="123"/>
      <c r="S46" s="123"/>
      <c r="T46" s="123"/>
      <c r="U46" s="123"/>
      <c r="V46" s="123"/>
      <c r="W46" s="123"/>
      <c r="X46" s="123"/>
      <c r="Y46" s="123"/>
      <c r="Z46" s="123"/>
      <c r="AA46" s="123"/>
      <c r="AB46" s="123"/>
      <c r="AC46" s="123"/>
      <c r="AD46" s="123"/>
      <c r="AE46" s="123"/>
      <c r="AF46" s="123"/>
      <c r="AG46" s="123"/>
      <c r="AH46" s="123"/>
      <c r="AI46" s="123"/>
      <c r="AJ46" s="123"/>
      <c r="AK46" s="123"/>
    </row>
    <row r="47" spans="3:37" s="3" customFormat="1" ht="15" customHeight="1" x14ac:dyDescent="0.3">
      <c r="P47" s="24"/>
      <c r="Q47" s="541"/>
      <c r="R47" s="123"/>
      <c r="S47" s="123"/>
      <c r="T47" s="123"/>
      <c r="U47" s="123"/>
      <c r="V47" s="123"/>
      <c r="W47" s="123"/>
      <c r="X47" s="123"/>
      <c r="Y47" s="123"/>
      <c r="Z47" s="123"/>
      <c r="AA47" s="123"/>
      <c r="AB47" s="123"/>
      <c r="AC47" s="123"/>
      <c r="AD47" s="123"/>
      <c r="AE47" s="123"/>
      <c r="AF47" s="123"/>
      <c r="AG47" s="123"/>
      <c r="AH47" s="123"/>
      <c r="AI47" s="123"/>
      <c r="AJ47" s="123"/>
      <c r="AK47" s="123"/>
    </row>
    <row r="48" spans="3:37" s="3" customFormat="1" ht="15" customHeight="1" x14ac:dyDescent="0.3">
      <c r="P48" s="24"/>
      <c r="Q48" s="541"/>
      <c r="R48" s="123"/>
      <c r="S48" s="123"/>
      <c r="T48" s="123"/>
      <c r="U48" s="123"/>
      <c r="V48" s="123"/>
      <c r="W48" s="123"/>
      <c r="X48" s="123"/>
      <c r="Y48" s="123"/>
      <c r="Z48" s="123"/>
      <c r="AA48" s="123"/>
      <c r="AB48" s="123"/>
      <c r="AC48" s="123"/>
      <c r="AD48" s="123"/>
      <c r="AE48" s="123"/>
      <c r="AF48" s="123"/>
      <c r="AG48" s="123"/>
      <c r="AH48" s="123"/>
      <c r="AI48" s="123"/>
      <c r="AJ48" s="123"/>
      <c r="AK48" s="123"/>
    </row>
    <row r="49" spans="16:37" s="3" customFormat="1" ht="15" customHeight="1" x14ac:dyDescent="0.3">
      <c r="P49" s="24"/>
      <c r="Q49" s="541"/>
      <c r="R49" s="123"/>
      <c r="S49" s="123"/>
      <c r="T49" s="123"/>
      <c r="U49" s="123"/>
      <c r="V49" s="123"/>
      <c r="W49" s="123"/>
      <c r="X49" s="123"/>
      <c r="Y49" s="123"/>
      <c r="Z49" s="123"/>
      <c r="AA49" s="123"/>
      <c r="AB49" s="123"/>
      <c r="AC49" s="123"/>
      <c r="AD49" s="123"/>
      <c r="AE49" s="123"/>
      <c r="AF49" s="123"/>
      <c r="AG49" s="123"/>
      <c r="AH49" s="123"/>
      <c r="AI49" s="123"/>
      <c r="AJ49" s="123"/>
      <c r="AK49" s="123"/>
    </row>
    <row r="50" spans="16:37" s="3" customFormat="1" ht="15" customHeight="1" x14ac:dyDescent="0.3">
      <c r="P50" s="24"/>
      <c r="Q50" s="541"/>
      <c r="R50" s="123"/>
      <c r="S50" s="123"/>
      <c r="T50" s="123"/>
      <c r="U50" s="123"/>
      <c r="V50" s="123"/>
      <c r="W50" s="123"/>
      <c r="X50" s="123"/>
      <c r="Y50" s="123"/>
      <c r="Z50" s="123"/>
      <c r="AA50" s="123"/>
      <c r="AB50" s="123"/>
      <c r="AC50" s="123"/>
      <c r="AD50" s="123"/>
      <c r="AE50" s="123"/>
      <c r="AF50" s="123"/>
      <c r="AG50" s="123"/>
      <c r="AH50" s="123"/>
      <c r="AI50" s="123"/>
      <c r="AJ50" s="123"/>
      <c r="AK50" s="123"/>
    </row>
    <row r="51" spans="16:37" s="3" customFormat="1" ht="15" customHeight="1" x14ac:dyDescent="0.3">
      <c r="P51" s="24"/>
      <c r="Q51" s="541"/>
      <c r="R51" s="123"/>
      <c r="S51" s="123"/>
      <c r="T51" s="123"/>
      <c r="U51" s="123"/>
      <c r="V51" s="123"/>
      <c r="W51" s="123"/>
      <c r="X51" s="123"/>
      <c r="Y51" s="123"/>
      <c r="Z51" s="123"/>
      <c r="AA51" s="123"/>
      <c r="AB51" s="123"/>
      <c r="AC51" s="123"/>
      <c r="AD51" s="123"/>
      <c r="AE51" s="123"/>
      <c r="AF51" s="123"/>
      <c r="AG51" s="123"/>
      <c r="AH51" s="123"/>
      <c r="AI51" s="123"/>
      <c r="AJ51" s="123"/>
      <c r="AK51" s="123"/>
    </row>
    <row r="52" spans="16:37" s="3" customFormat="1" ht="15" customHeight="1" x14ac:dyDescent="0.3">
      <c r="P52" s="24"/>
      <c r="Q52" s="541"/>
      <c r="R52" s="123"/>
      <c r="S52" s="123"/>
      <c r="T52" s="123"/>
      <c r="U52" s="123"/>
      <c r="V52" s="123"/>
      <c r="W52" s="123"/>
      <c r="X52" s="123"/>
      <c r="Y52" s="123"/>
      <c r="Z52" s="123"/>
      <c r="AA52" s="123"/>
      <c r="AB52" s="123"/>
      <c r="AC52" s="123"/>
      <c r="AD52" s="123"/>
      <c r="AE52" s="123"/>
      <c r="AF52" s="123"/>
      <c r="AG52" s="123"/>
      <c r="AH52" s="123"/>
      <c r="AI52" s="123"/>
      <c r="AJ52" s="123"/>
      <c r="AK52" s="123"/>
    </row>
    <row r="53" spans="16:37" s="3" customFormat="1" ht="15" customHeight="1" x14ac:dyDescent="0.3">
      <c r="P53" s="24"/>
      <c r="Q53" s="541"/>
      <c r="R53" s="123"/>
      <c r="S53" s="123"/>
      <c r="T53" s="123"/>
      <c r="U53" s="123"/>
      <c r="V53" s="123"/>
      <c r="W53" s="123"/>
      <c r="X53" s="123"/>
      <c r="Y53" s="123"/>
      <c r="Z53" s="123"/>
      <c r="AA53" s="123"/>
      <c r="AB53" s="123"/>
      <c r="AC53" s="123"/>
      <c r="AD53" s="123"/>
      <c r="AE53" s="123"/>
      <c r="AF53" s="123"/>
      <c r="AG53" s="123"/>
      <c r="AH53" s="123"/>
      <c r="AI53" s="123"/>
      <c r="AJ53" s="123"/>
      <c r="AK53" s="123"/>
    </row>
    <row r="54" spans="16:37" s="3" customFormat="1" ht="15" customHeight="1" x14ac:dyDescent="0.3">
      <c r="P54" s="24"/>
      <c r="Q54" s="541"/>
      <c r="R54" s="123"/>
      <c r="S54" s="123"/>
      <c r="T54" s="123"/>
      <c r="U54" s="123"/>
      <c r="V54" s="123"/>
      <c r="W54" s="123"/>
      <c r="X54" s="123"/>
      <c r="Y54" s="123"/>
      <c r="Z54" s="123"/>
      <c r="AA54" s="123"/>
      <c r="AB54" s="123"/>
      <c r="AC54" s="123"/>
      <c r="AD54" s="123"/>
      <c r="AE54" s="123"/>
      <c r="AF54" s="123"/>
      <c r="AG54" s="123"/>
      <c r="AH54" s="123"/>
      <c r="AI54" s="123"/>
      <c r="AJ54" s="123"/>
      <c r="AK54" s="123"/>
    </row>
    <row r="55" spans="16:37" s="3" customFormat="1" ht="15" customHeight="1" x14ac:dyDescent="0.3">
      <c r="P55" s="24"/>
      <c r="Q55" s="541"/>
      <c r="R55" s="123"/>
      <c r="S55" s="123"/>
      <c r="T55" s="123"/>
      <c r="U55" s="123"/>
      <c r="V55" s="123"/>
      <c r="W55" s="123"/>
      <c r="X55" s="123"/>
      <c r="Y55" s="123"/>
      <c r="Z55" s="123"/>
      <c r="AA55" s="123"/>
      <c r="AB55" s="123"/>
      <c r="AC55" s="123"/>
      <c r="AD55" s="123"/>
      <c r="AE55" s="123"/>
      <c r="AF55" s="123"/>
      <c r="AG55" s="123"/>
      <c r="AH55" s="123"/>
      <c r="AI55" s="123"/>
      <c r="AJ55" s="123"/>
      <c r="AK55" s="123"/>
    </row>
    <row r="56" spans="16:37" s="3" customFormat="1" ht="15" customHeight="1" x14ac:dyDescent="0.3">
      <c r="P56" s="24"/>
      <c r="Q56" s="541"/>
      <c r="R56" s="123"/>
      <c r="S56" s="123"/>
      <c r="T56" s="123"/>
      <c r="U56" s="123"/>
      <c r="V56" s="123"/>
      <c r="W56" s="123"/>
      <c r="X56" s="123"/>
      <c r="Y56" s="123"/>
      <c r="Z56" s="123"/>
      <c r="AA56" s="123"/>
      <c r="AB56" s="123"/>
      <c r="AC56" s="123"/>
      <c r="AD56" s="123"/>
      <c r="AE56" s="123"/>
      <c r="AF56" s="123"/>
      <c r="AG56" s="123"/>
      <c r="AH56" s="123"/>
      <c r="AI56" s="123"/>
      <c r="AJ56" s="123"/>
      <c r="AK56" s="123"/>
    </row>
    <row r="57" spans="16:37" s="3" customFormat="1" ht="15" customHeight="1" x14ac:dyDescent="0.3">
      <c r="P57" s="24"/>
      <c r="Q57" s="541"/>
      <c r="R57" s="123"/>
      <c r="S57" s="123"/>
      <c r="T57" s="123"/>
      <c r="U57" s="123"/>
      <c r="V57" s="123"/>
      <c r="W57" s="123"/>
      <c r="X57" s="123"/>
      <c r="Y57" s="123"/>
      <c r="Z57" s="123"/>
      <c r="AA57" s="123"/>
      <c r="AB57" s="123"/>
      <c r="AC57" s="123"/>
      <c r="AD57" s="123"/>
      <c r="AE57" s="123"/>
      <c r="AF57" s="123"/>
      <c r="AG57" s="123"/>
      <c r="AH57" s="123"/>
      <c r="AI57" s="123"/>
      <c r="AJ57" s="123"/>
      <c r="AK57" s="123"/>
    </row>
    <row r="58" spans="16:37" s="3" customFormat="1" ht="15" customHeight="1" x14ac:dyDescent="0.3">
      <c r="P58" s="24"/>
      <c r="Q58" s="541"/>
      <c r="R58" s="123"/>
      <c r="S58" s="123"/>
      <c r="T58" s="123"/>
      <c r="U58" s="123"/>
      <c r="V58" s="123"/>
      <c r="W58" s="123"/>
      <c r="X58" s="123"/>
      <c r="Y58" s="123"/>
      <c r="Z58" s="123"/>
      <c r="AA58" s="123"/>
      <c r="AB58" s="123"/>
      <c r="AC58" s="123"/>
      <c r="AD58" s="123"/>
      <c r="AE58" s="123"/>
      <c r="AF58" s="123"/>
      <c r="AG58" s="123"/>
      <c r="AH58" s="123"/>
      <c r="AI58" s="123"/>
      <c r="AJ58" s="123"/>
      <c r="AK58" s="123"/>
    </row>
    <row r="59" spans="16:37" s="3" customFormat="1" ht="15" customHeight="1" x14ac:dyDescent="0.3">
      <c r="P59" s="24"/>
      <c r="Q59" s="541"/>
      <c r="R59" s="123"/>
      <c r="S59" s="123"/>
      <c r="T59" s="123"/>
      <c r="U59" s="123"/>
      <c r="V59" s="123"/>
      <c r="W59" s="123"/>
      <c r="X59" s="123"/>
      <c r="Y59" s="123"/>
      <c r="Z59" s="123"/>
      <c r="AA59" s="123"/>
      <c r="AB59" s="123"/>
      <c r="AC59" s="123"/>
      <c r="AD59" s="123"/>
      <c r="AE59" s="123"/>
      <c r="AF59" s="123"/>
      <c r="AG59" s="123"/>
      <c r="AH59" s="123"/>
      <c r="AI59" s="123"/>
      <c r="AJ59" s="123"/>
      <c r="AK59" s="123"/>
    </row>
    <row r="60" spans="16:37" s="3" customFormat="1" ht="15" customHeight="1" x14ac:dyDescent="0.3">
      <c r="P60" s="24"/>
      <c r="Q60" s="541"/>
      <c r="R60" s="123"/>
      <c r="S60" s="123"/>
      <c r="T60" s="123"/>
      <c r="U60" s="123"/>
      <c r="V60" s="123"/>
      <c r="W60" s="123"/>
      <c r="X60" s="123"/>
      <c r="Y60" s="123"/>
      <c r="Z60" s="123"/>
      <c r="AA60" s="123"/>
      <c r="AB60" s="123"/>
      <c r="AC60" s="123"/>
      <c r="AD60" s="123"/>
      <c r="AE60" s="123"/>
      <c r="AF60" s="123"/>
      <c r="AG60" s="123"/>
      <c r="AH60" s="123"/>
      <c r="AI60" s="123"/>
      <c r="AJ60" s="123"/>
      <c r="AK60" s="123"/>
    </row>
    <row r="61" spans="16:37" s="3" customFormat="1" ht="15" customHeight="1" x14ac:dyDescent="0.3">
      <c r="P61" s="24"/>
      <c r="Q61" s="541"/>
      <c r="R61" s="123"/>
      <c r="S61" s="123"/>
      <c r="T61" s="123"/>
      <c r="U61" s="123"/>
      <c r="V61" s="123"/>
      <c r="W61" s="123"/>
      <c r="X61" s="123"/>
      <c r="Y61" s="123"/>
      <c r="Z61" s="123"/>
      <c r="AA61" s="123"/>
      <c r="AB61" s="123"/>
      <c r="AC61" s="123"/>
      <c r="AD61" s="123"/>
      <c r="AE61" s="123"/>
      <c r="AF61" s="123"/>
      <c r="AG61" s="123"/>
      <c r="AH61" s="123"/>
      <c r="AI61" s="123"/>
      <c r="AJ61" s="123"/>
      <c r="AK61" s="123"/>
    </row>
    <row r="62" spans="16:37" s="3" customFormat="1" ht="15" customHeight="1" x14ac:dyDescent="0.3">
      <c r="P62" s="24"/>
      <c r="Q62" s="541"/>
      <c r="R62" s="123"/>
      <c r="S62" s="123"/>
      <c r="T62" s="123"/>
      <c r="U62" s="123"/>
      <c r="V62" s="123"/>
      <c r="W62" s="123"/>
      <c r="X62" s="123"/>
      <c r="Y62" s="123"/>
      <c r="Z62" s="123"/>
      <c r="AA62" s="123"/>
      <c r="AB62" s="123"/>
      <c r="AC62" s="123"/>
      <c r="AD62" s="123"/>
      <c r="AE62" s="123"/>
      <c r="AF62" s="123"/>
      <c r="AG62" s="123"/>
      <c r="AH62" s="123"/>
      <c r="AI62" s="123"/>
      <c r="AJ62" s="123"/>
      <c r="AK62" s="123"/>
    </row>
    <row r="63" spans="16:37" s="3" customFormat="1" ht="15" customHeight="1" x14ac:dyDescent="0.3">
      <c r="P63" s="24"/>
      <c r="Q63" s="541"/>
      <c r="R63" s="123"/>
      <c r="S63" s="123"/>
      <c r="T63" s="123"/>
      <c r="U63" s="123"/>
      <c r="V63" s="123"/>
      <c r="W63" s="123"/>
      <c r="X63" s="123"/>
      <c r="Y63" s="123"/>
      <c r="Z63" s="123"/>
      <c r="AA63" s="123"/>
      <c r="AB63" s="123"/>
      <c r="AC63" s="123"/>
      <c r="AD63" s="123"/>
      <c r="AE63" s="123"/>
      <c r="AF63" s="123"/>
      <c r="AG63" s="123"/>
      <c r="AH63" s="123"/>
      <c r="AI63" s="123"/>
      <c r="AJ63" s="123"/>
      <c r="AK63" s="123"/>
    </row>
    <row r="64" spans="16:37" s="3" customFormat="1" ht="15" customHeight="1" x14ac:dyDescent="0.3">
      <c r="P64" s="24"/>
      <c r="Q64" s="541"/>
      <c r="R64" s="123"/>
      <c r="S64" s="123"/>
      <c r="T64" s="123"/>
      <c r="U64" s="123"/>
      <c r="V64" s="123"/>
      <c r="W64" s="123"/>
      <c r="X64" s="123"/>
      <c r="Y64" s="123"/>
      <c r="Z64" s="123"/>
      <c r="AA64" s="123"/>
      <c r="AB64" s="123"/>
      <c r="AC64" s="123"/>
      <c r="AD64" s="123"/>
      <c r="AE64" s="123"/>
      <c r="AF64" s="123"/>
      <c r="AG64" s="123"/>
      <c r="AH64" s="123"/>
      <c r="AI64" s="123"/>
      <c r="AJ64" s="123"/>
      <c r="AK64" s="123"/>
    </row>
    <row r="65" spans="16:37" s="3" customFormat="1" ht="15" customHeight="1" x14ac:dyDescent="0.3">
      <c r="P65" s="24"/>
      <c r="Q65" s="541"/>
      <c r="R65" s="123"/>
      <c r="S65" s="123"/>
      <c r="T65" s="123"/>
      <c r="U65" s="123"/>
      <c r="V65" s="123"/>
      <c r="W65" s="123"/>
      <c r="X65" s="123"/>
      <c r="Y65" s="123"/>
      <c r="Z65" s="123"/>
      <c r="AA65" s="123"/>
      <c r="AB65" s="123"/>
      <c r="AC65" s="123"/>
      <c r="AD65" s="123"/>
      <c r="AE65" s="123"/>
      <c r="AF65" s="123"/>
      <c r="AG65" s="123"/>
      <c r="AH65" s="123"/>
      <c r="AI65" s="123"/>
      <c r="AJ65" s="123"/>
      <c r="AK65" s="123"/>
    </row>
    <row r="66" spans="16:37" s="3" customFormat="1" ht="15" customHeight="1" x14ac:dyDescent="0.3">
      <c r="P66" s="24"/>
      <c r="Q66" s="541"/>
      <c r="R66" s="123"/>
      <c r="S66" s="123"/>
      <c r="T66" s="123"/>
      <c r="U66" s="123"/>
      <c r="V66" s="123"/>
      <c r="W66" s="123"/>
      <c r="X66" s="123"/>
      <c r="Y66" s="123"/>
      <c r="Z66" s="123"/>
      <c r="AA66" s="123"/>
      <c r="AB66" s="123"/>
      <c r="AC66" s="123"/>
      <c r="AD66" s="123"/>
      <c r="AE66" s="123"/>
      <c r="AF66" s="123"/>
      <c r="AG66" s="123"/>
      <c r="AH66" s="123"/>
      <c r="AI66" s="123"/>
      <c r="AJ66" s="123"/>
      <c r="AK66" s="123"/>
    </row>
    <row r="67" spans="16:37" s="3" customFormat="1" ht="15" customHeight="1" x14ac:dyDescent="0.3">
      <c r="P67" s="24"/>
      <c r="Q67" s="541"/>
      <c r="R67" s="123"/>
      <c r="S67" s="123"/>
      <c r="T67" s="123"/>
      <c r="U67" s="123"/>
      <c r="V67" s="123"/>
      <c r="W67" s="123"/>
      <c r="X67" s="123"/>
      <c r="Y67" s="123"/>
      <c r="Z67" s="123"/>
      <c r="AA67" s="123"/>
      <c r="AB67" s="123"/>
      <c r="AC67" s="123"/>
      <c r="AD67" s="123"/>
      <c r="AE67" s="123"/>
      <c r="AF67" s="123"/>
      <c r="AG67" s="123"/>
      <c r="AH67" s="123"/>
      <c r="AI67" s="123"/>
      <c r="AJ67" s="123"/>
      <c r="AK67" s="123"/>
    </row>
    <row r="68" spans="16:37" s="3" customFormat="1" ht="15" customHeight="1" x14ac:dyDescent="0.3">
      <c r="P68" s="24"/>
      <c r="Q68" s="541"/>
      <c r="R68" s="123"/>
      <c r="S68" s="123"/>
      <c r="T68" s="123"/>
      <c r="U68" s="123"/>
      <c r="V68" s="123"/>
      <c r="W68" s="123"/>
      <c r="X68" s="123"/>
      <c r="Y68" s="123"/>
      <c r="Z68" s="123"/>
      <c r="AA68" s="123"/>
      <c r="AB68" s="123"/>
      <c r="AC68" s="123"/>
      <c r="AD68" s="123"/>
      <c r="AE68" s="123"/>
      <c r="AF68" s="123"/>
      <c r="AG68" s="123"/>
      <c r="AH68" s="123"/>
      <c r="AI68" s="123"/>
      <c r="AJ68" s="123"/>
      <c r="AK68" s="123"/>
    </row>
    <row r="69" spans="16:37" s="3" customFormat="1" ht="15" customHeight="1" x14ac:dyDescent="0.3">
      <c r="P69" s="24"/>
      <c r="Q69" s="541"/>
      <c r="R69" s="123"/>
      <c r="S69" s="123"/>
      <c r="T69" s="123"/>
      <c r="U69" s="123"/>
      <c r="V69" s="123"/>
      <c r="W69" s="123"/>
      <c r="X69" s="123"/>
      <c r="Y69" s="123"/>
      <c r="Z69" s="123"/>
      <c r="AA69" s="123"/>
      <c r="AB69" s="123"/>
      <c r="AC69" s="123"/>
      <c r="AD69" s="123"/>
      <c r="AE69" s="123"/>
      <c r="AF69" s="123"/>
      <c r="AG69" s="123"/>
      <c r="AH69" s="123"/>
      <c r="AI69" s="123"/>
      <c r="AJ69" s="123"/>
      <c r="AK69" s="123"/>
    </row>
    <row r="70" spans="16:37" s="3" customFormat="1" ht="15" customHeight="1" x14ac:dyDescent="0.3">
      <c r="P70" s="24"/>
      <c r="Q70" s="541"/>
      <c r="R70" s="123"/>
      <c r="S70" s="123"/>
      <c r="T70" s="123"/>
      <c r="U70" s="123"/>
      <c r="V70" s="123"/>
      <c r="W70" s="123"/>
      <c r="X70" s="123"/>
      <c r="Y70" s="123"/>
      <c r="Z70" s="123"/>
      <c r="AA70" s="123"/>
      <c r="AB70" s="123"/>
      <c r="AC70" s="123"/>
      <c r="AD70" s="123"/>
      <c r="AE70" s="123"/>
      <c r="AF70" s="123"/>
      <c r="AG70" s="123"/>
      <c r="AH70" s="123"/>
      <c r="AI70" s="123"/>
      <c r="AJ70" s="123"/>
      <c r="AK70" s="123"/>
    </row>
    <row r="71" spans="16:37" s="3" customFormat="1" ht="15" customHeight="1" x14ac:dyDescent="0.3">
      <c r="P71" s="24"/>
      <c r="Q71" s="541"/>
      <c r="R71" s="123"/>
      <c r="S71" s="123"/>
      <c r="T71" s="123"/>
      <c r="U71" s="123"/>
      <c r="V71" s="123"/>
      <c r="W71" s="123"/>
      <c r="X71" s="123"/>
      <c r="Y71" s="123"/>
      <c r="Z71" s="123"/>
      <c r="AA71" s="123"/>
      <c r="AB71" s="123"/>
      <c r="AC71" s="123"/>
      <c r="AD71" s="123"/>
      <c r="AE71" s="123"/>
      <c r="AF71" s="123"/>
      <c r="AG71" s="123"/>
      <c r="AH71" s="123"/>
      <c r="AI71" s="123"/>
      <c r="AJ71" s="123"/>
      <c r="AK71" s="123"/>
    </row>
    <row r="72" spans="16:37" s="3" customFormat="1" ht="15" customHeight="1" x14ac:dyDescent="0.3">
      <c r="P72" s="24"/>
      <c r="Q72" s="541"/>
      <c r="R72" s="123"/>
      <c r="S72" s="123"/>
      <c r="T72" s="123"/>
      <c r="U72" s="123"/>
      <c r="V72" s="123"/>
      <c r="W72" s="123"/>
      <c r="X72" s="123"/>
      <c r="Y72" s="123"/>
      <c r="Z72" s="123"/>
      <c r="AA72" s="123"/>
      <c r="AB72" s="123"/>
      <c r="AC72" s="123"/>
      <c r="AD72" s="123"/>
      <c r="AE72" s="123"/>
      <c r="AF72" s="123"/>
      <c r="AG72" s="123"/>
      <c r="AH72" s="123"/>
      <c r="AI72" s="123"/>
      <c r="AJ72" s="123"/>
      <c r="AK72" s="123"/>
    </row>
    <row r="73" spans="16:37" s="3" customFormat="1" ht="15" customHeight="1" x14ac:dyDescent="0.3">
      <c r="P73" s="24"/>
      <c r="Q73" s="541"/>
      <c r="R73" s="123"/>
      <c r="S73" s="123"/>
      <c r="T73" s="123"/>
      <c r="U73" s="123"/>
      <c r="V73" s="123"/>
      <c r="W73" s="123"/>
      <c r="X73" s="123"/>
      <c r="Y73" s="123"/>
      <c r="Z73" s="123"/>
      <c r="AA73" s="123"/>
      <c r="AB73" s="123"/>
      <c r="AC73" s="123"/>
      <c r="AD73" s="123"/>
      <c r="AE73" s="123"/>
      <c r="AF73" s="123"/>
      <c r="AG73" s="123"/>
      <c r="AH73" s="123"/>
      <c r="AI73" s="123"/>
      <c r="AJ73" s="123"/>
      <c r="AK73" s="123"/>
    </row>
    <row r="74" spans="16:37" s="3" customFormat="1" ht="15" customHeight="1" x14ac:dyDescent="0.3">
      <c r="P74" s="24"/>
      <c r="Q74" s="541"/>
      <c r="R74" s="123"/>
      <c r="S74" s="123"/>
      <c r="T74" s="123"/>
      <c r="U74" s="123"/>
      <c r="V74" s="123"/>
      <c r="W74" s="123"/>
      <c r="X74" s="123"/>
      <c r="Y74" s="123"/>
      <c r="Z74" s="123"/>
      <c r="AA74" s="123"/>
      <c r="AB74" s="123"/>
      <c r="AC74" s="123"/>
      <c r="AD74" s="123"/>
      <c r="AE74" s="123"/>
      <c r="AF74" s="123"/>
      <c r="AG74" s="123"/>
      <c r="AH74" s="123"/>
      <c r="AI74" s="123"/>
      <c r="AJ74" s="123"/>
      <c r="AK74" s="123"/>
    </row>
    <row r="75" spans="16:37" s="3" customFormat="1" ht="15" customHeight="1" x14ac:dyDescent="0.3">
      <c r="P75" s="24"/>
      <c r="Q75" s="541"/>
      <c r="R75" s="123"/>
      <c r="S75" s="123"/>
      <c r="T75" s="123"/>
      <c r="U75" s="123"/>
      <c r="V75" s="123"/>
      <c r="W75" s="123"/>
      <c r="X75" s="123"/>
      <c r="Y75" s="123"/>
      <c r="Z75" s="123"/>
      <c r="AA75" s="123"/>
      <c r="AB75" s="123"/>
      <c r="AC75" s="123"/>
      <c r="AD75" s="123"/>
      <c r="AE75" s="123"/>
      <c r="AF75" s="123"/>
      <c r="AG75" s="123"/>
      <c r="AH75" s="123"/>
      <c r="AI75" s="123"/>
      <c r="AJ75" s="123"/>
      <c r="AK75" s="123"/>
    </row>
    <row r="76" spans="16:37" s="3" customFormat="1" ht="15" customHeight="1" x14ac:dyDescent="0.3">
      <c r="P76" s="24"/>
      <c r="Q76" s="541"/>
      <c r="R76" s="123"/>
      <c r="S76" s="123"/>
      <c r="T76" s="123"/>
      <c r="U76" s="123"/>
      <c r="V76" s="123"/>
      <c r="W76" s="123"/>
      <c r="X76" s="123"/>
      <c r="Y76" s="123"/>
      <c r="Z76" s="123"/>
      <c r="AA76" s="123"/>
      <c r="AB76" s="123"/>
      <c r="AC76" s="123"/>
      <c r="AD76" s="123"/>
      <c r="AE76" s="123"/>
      <c r="AF76" s="123"/>
      <c r="AG76" s="123"/>
      <c r="AH76" s="123"/>
      <c r="AI76" s="123"/>
      <c r="AJ76" s="123"/>
      <c r="AK76" s="123"/>
    </row>
    <row r="77" spans="16:37" s="3" customFormat="1" ht="15" customHeight="1" x14ac:dyDescent="0.3">
      <c r="P77" s="24"/>
      <c r="Q77" s="541"/>
      <c r="R77" s="123"/>
      <c r="S77" s="123"/>
      <c r="T77" s="123"/>
      <c r="U77" s="123"/>
      <c r="V77" s="123"/>
      <c r="W77" s="123"/>
      <c r="X77" s="123"/>
      <c r="Y77" s="123"/>
      <c r="Z77" s="123"/>
      <c r="AA77" s="123"/>
      <c r="AB77" s="123"/>
      <c r="AC77" s="123"/>
      <c r="AD77" s="123"/>
      <c r="AE77" s="123"/>
      <c r="AF77" s="123"/>
      <c r="AG77" s="123"/>
      <c r="AH77" s="123"/>
      <c r="AI77" s="123"/>
      <c r="AJ77" s="123"/>
      <c r="AK77" s="123"/>
    </row>
    <row r="78" spans="16:37" s="3" customFormat="1" ht="15" customHeight="1" x14ac:dyDescent="0.3">
      <c r="P78" s="24"/>
      <c r="Q78" s="541"/>
      <c r="R78" s="123"/>
      <c r="S78" s="123"/>
      <c r="T78" s="123"/>
      <c r="U78" s="123"/>
      <c r="V78" s="123"/>
      <c r="W78" s="123"/>
      <c r="X78" s="123"/>
      <c r="Y78" s="123"/>
      <c r="Z78" s="123"/>
      <c r="AA78" s="123"/>
      <c r="AB78" s="123"/>
      <c r="AC78" s="123"/>
      <c r="AD78" s="123"/>
      <c r="AE78" s="123"/>
      <c r="AF78" s="123"/>
      <c r="AG78" s="123"/>
      <c r="AH78" s="123"/>
      <c r="AI78" s="123"/>
      <c r="AJ78" s="123"/>
      <c r="AK78" s="123"/>
    </row>
    <row r="79" spans="16:37" s="3" customFormat="1" ht="15" customHeight="1" x14ac:dyDescent="0.3">
      <c r="P79" s="24"/>
      <c r="Q79" s="541"/>
      <c r="R79" s="123"/>
      <c r="S79" s="123"/>
      <c r="T79" s="123"/>
      <c r="U79" s="123"/>
      <c r="V79" s="123"/>
      <c r="W79" s="123"/>
      <c r="X79" s="123"/>
      <c r="Y79" s="123"/>
      <c r="Z79" s="123"/>
      <c r="AA79" s="123"/>
      <c r="AB79" s="123"/>
      <c r="AC79" s="123"/>
      <c r="AD79" s="123"/>
      <c r="AE79" s="123"/>
      <c r="AF79" s="123"/>
      <c r="AG79" s="123"/>
      <c r="AH79" s="123"/>
      <c r="AI79" s="123"/>
      <c r="AJ79" s="123"/>
      <c r="AK79" s="123"/>
    </row>
    <row r="80" spans="16:37" s="3" customFormat="1" ht="15" customHeight="1" x14ac:dyDescent="0.3">
      <c r="P80" s="24"/>
      <c r="Q80" s="541"/>
      <c r="R80" s="123"/>
      <c r="S80" s="123"/>
      <c r="T80" s="123"/>
      <c r="U80" s="123"/>
      <c r="V80" s="123"/>
      <c r="W80" s="123"/>
      <c r="X80" s="123"/>
      <c r="Y80" s="123"/>
      <c r="Z80" s="123"/>
      <c r="AA80" s="123"/>
      <c r="AB80" s="123"/>
      <c r="AC80" s="123"/>
      <c r="AD80" s="123"/>
      <c r="AE80" s="123"/>
      <c r="AF80" s="123"/>
      <c r="AG80" s="123"/>
      <c r="AH80" s="123"/>
      <c r="AI80" s="123"/>
      <c r="AJ80" s="123"/>
      <c r="AK80" s="123"/>
    </row>
    <row r="81" spans="16:37" s="3" customFormat="1" ht="15" customHeight="1" x14ac:dyDescent="0.3">
      <c r="P81" s="24"/>
      <c r="Q81" s="541"/>
      <c r="R81" s="123"/>
      <c r="S81" s="123"/>
      <c r="T81" s="123"/>
      <c r="U81" s="123"/>
      <c r="V81" s="123"/>
      <c r="W81" s="123"/>
      <c r="X81" s="123"/>
      <c r="Y81" s="123"/>
      <c r="Z81" s="123"/>
      <c r="AA81" s="123"/>
      <c r="AB81" s="123"/>
      <c r="AC81" s="123"/>
      <c r="AD81" s="123"/>
      <c r="AE81" s="123"/>
      <c r="AF81" s="123"/>
      <c r="AG81" s="123"/>
      <c r="AH81" s="123"/>
      <c r="AI81" s="123"/>
      <c r="AJ81" s="123"/>
      <c r="AK81" s="123"/>
    </row>
    <row r="82" spans="16:37" s="3" customFormat="1" ht="15" customHeight="1" x14ac:dyDescent="0.3">
      <c r="P82" s="24"/>
      <c r="Q82" s="541"/>
      <c r="R82" s="123"/>
      <c r="S82" s="123"/>
      <c r="T82" s="123"/>
      <c r="U82" s="123"/>
      <c r="V82" s="123"/>
      <c r="W82" s="123"/>
      <c r="X82" s="123"/>
      <c r="Y82" s="123"/>
      <c r="Z82" s="123"/>
      <c r="AA82" s="123"/>
      <c r="AB82" s="123"/>
      <c r="AC82" s="123"/>
      <c r="AD82" s="123"/>
      <c r="AE82" s="123"/>
      <c r="AF82" s="123"/>
      <c r="AG82" s="123"/>
      <c r="AH82" s="123"/>
      <c r="AI82" s="123"/>
      <c r="AJ82" s="123"/>
      <c r="AK82" s="123"/>
    </row>
    <row r="83" spans="16:37" s="3" customFormat="1" ht="15" customHeight="1" x14ac:dyDescent="0.3">
      <c r="P83" s="24"/>
      <c r="Q83" s="541"/>
      <c r="R83" s="123"/>
      <c r="S83" s="123"/>
      <c r="T83" s="123"/>
      <c r="U83" s="123"/>
      <c r="V83" s="123"/>
      <c r="W83" s="123"/>
      <c r="X83" s="123"/>
      <c r="Y83" s="123"/>
      <c r="Z83" s="123"/>
      <c r="AA83" s="123"/>
      <c r="AB83" s="123"/>
      <c r="AC83" s="123"/>
      <c r="AD83" s="123"/>
      <c r="AE83" s="123"/>
      <c r="AF83" s="123"/>
      <c r="AG83" s="123"/>
      <c r="AH83" s="123"/>
      <c r="AI83" s="123"/>
      <c r="AJ83" s="123"/>
      <c r="AK83" s="123"/>
    </row>
    <row r="84" spans="16:37" s="3" customFormat="1" ht="15" customHeight="1" x14ac:dyDescent="0.3">
      <c r="P84" s="24"/>
      <c r="Q84" s="541"/>
      <c r="R84" s="123"/>
      <c r="S84" s="123"/>
      <c r="T84" s="123"/>
      <c r="U84" s="123"/>
      <c r="V84" s="123"/>
      <c r="W84" s="123"/>
      <c r="X84" s="123"/>
      <c r="Y84" s="123"/>
      <c r="Z84" s="123"/>
      <c r="AA84" s="123"/>
      <c r="AB84" s="123"/>
      <c r="AC84" s="123"/>
      <c r="AD84" s="123"/>
      <c r="AE84" s="123"/>
      <c r="AF84" s="123"/>
      <c r="AG84" s="123"/>
      <c r="AH84" s="123"/>
      <c r="AI84" s="123"/>
      <c r="AJ84" s="123"/>
      <c r="AK84" s="123"/>
    </row>
    <row r="85" spans="16:37" s="3" customFormat="1" ht="15" customHeight="1" x14ac:dyDescent="0.3">
      <c r="P85" s="24"/>
      <c r="Q85" s="541"/>
      <c r="R85" s="123"/>
      <c r="S85" s="123"/>
      <c r="T85" s="123"/>
      <c r="U85" s="123"/>
      <c r="V85" s="123"/>
      <c r="W85" s="123"/>
      <c r="X85" s="123"/>
      <c r="Y85" s="123"/>
      <c r="Z85" s="123"/>
      <c r="AA85" s="123"/>
      <c r="AB85" s="123"/>
      <c r="AC85" s="123"/>
      <c r="AD85" s="123"/>
      <c r="AE85" s="123"/>
      <c r="AF85" s="123"/>
      <c r="AG85" s="123"/>
      <c r="AH85" s="123"/>
      <c r="AI85" s="123"/>
      <c r="AJ85" s="123"/>
      <c r="AK85" s="123"/>
    </row>
  </sheetData>
  <mergeCells count="47">
    <mergeCell ref="O5:P5"/>
    <mergeCell ref="D12:I12"/>
    <mergeCell ref="B3:P4"/>
    <mergeCell ref="C27:D27"/>
    <mergeCell ref="E27:F27"/>
    <mergeCell ref="C26:D26"/>
    <mergeCell ref="E26:F26"/>
    <mergeCell ref="B13:B27"/>
    <mergeCell ref="D13:I13"/>
    <mergeCell ref="D14:I14"/>
    <mergeCell ref="D15:I15"/>
    <mergeCell ref="D16:I16"/>
    <mergeCell ref="D22:I22"/>
    <mergeCell ref="D17:I17"/>
    <mergeCell ref="D18:I18"/>
    <mergeCell ref="D19:I19"/>
    <mergeCell ref="D20:I20"/>
    <mergeCell ref="D21:I21"/>
    <mergeCell ref="D23:I23"/>
    <mergeCell ref="C24:F24"/>
    <mergeCell ref="C25:D25"/>
    <mergeCell ref="E25:F25"/>
    <mergeCell ref="G25:G27"/>
    <mergeCell ref="H24:I27"/>
    <mergeCell ref="D34:E34"/>
    <mergeCell ref="D35:E35"/>
    <mergeCell ref="D36:E36"/>
    <mergeCell ref="C29:P29"/>
    <mergeCell ref="D30:E30"/>
    <mergeCell ref="D31:E31"/>
    <mergeCell ref="I30:P30"/>
    <mergeCell ref="D40:E40"/>
    <mergeCell ref="I31:P31"/>
    <mergeCell ref="I32:P32"/>
    <mergeCell ref="I33:P33"/>
    <mergeCell ref="I34:P34"/>
    <mergeCell ref="I35:P35"/>
    <mergeCell ref="I36:P36"/>
    <mergeCell ref="I37:P37"/>
    <mergeCell ref="I38:P38"/>
    <mergeCell ref="I39:P39"/>
    <mergeCell ref="I40:P40"/>
    <mergeCell ref="D37:E37"/>
    <mergeCell ref="D38:E38"/>
    <mergeCell ref="D39:E39"/>
    <mergeCell ref="D32:E32"/>
    <mergeCell ref="D33:E33"/>
  </mergeCells>
  <conditionalFormatting sqref="C23">
    <cfRule type="expression" dxfId="71" priority="69" stopIfTrue="1">
      <formula>($N$9="Non-Automotive")</formula>
    </cfRule>
  </conditionalFormatting>
  <conditionalFormatting sqref="E25:F25">
    <cfRule type="containsText" dxfId="67" priority="1" operator="containsText" text="Conditional Approved">
      <formula>NOT(ISERROR(SEARCH("Conditional Approved",E25)))</formula>
    </cfRule>
    <cfRule type="containsText" dxfId="66" priority="2" operator="containsText" text="Rejected">
      <formula>NOT(ISERROR(SEARCH("Rejected",E25)))</formula>
    </cfRule>
    <cfRule type="containsText" dxfId="65" priority="3" operator="containsText" text="Approved">
      <formula>NOT(ISERROR(SEARCH("Approved",E25)))</formula>
    </cfRule>
    <cfRule type="containsText" dxfId="64" priority="4" operator="containsText" text="Completed">
      <formula>NOT(ISERROR(SEARCH("Completed",E25)))</formula>
    </cfRule>
    <cfRule type="containsText" dxfId="63" priority="5" operator="containsText" text="Launched">
      <formula>NOT(ISERROR(SEARCH("Launched",E25)))</formula>
    </cfRule>
    <cfRule type="containsText" dxfId="62" priority="6" operator="containsText" text="Not started">
      <formula>NOT(ISERROR(SEARCH("Not started",E25)))</formula>
    </cfRule>
  </conditionalFormatting>
  <conditionalFormatting sqref="K13">
    <cfRule type="containsText" dxfId="61" priority="18" operator="containsText" text="Rejected">
      <formula>NOT(ISERROR(SEARCH("Rejected",K13)))</formula>
    </cfRule>
    <cfRule type="containsText" dxfId="60" priority="19" operator="containsText" text="Approved">
      <formula>NOT(ISERROR(SEARCH("Approved",K13)))</formula>
    </cfRule>
    <cfRule type="containsText" dxfId="59" priority="20" operator="containsText" text="Under Review">
      <formula>NOT(ISERROR(SEARCH("Under Review",K13)))</formula>
    </cfRule>
    <cfRule type="containsText" dxfId="58" priority="21" operator="containsText" text="Done">
      <formula>NOT(ISERROR(SEARCH("Done",K13)))</formula>
    </cfRule>
  </conditionalFormatting>
  <conditionalFormatting sqref="K13:K23">
    <cfRule type="containsText" dxfId="57" priority="22" operator="containsText" text="Doing">
      <formula>NOT(ISERROR(SEARCH("Doing",K13)))</formula>
    </cfRule>
    <cfRule type="containsText" dxfId="56" priority="23" operator="containsText" text="Pending">
      <formula>NOT(ISERROR(SEARCH("Pending",K13)))</formula>
    </cfRule>
    <cfRule type="colorScale" priority="24">
      <colorScale>
        <cfvo type="min"/>
        <cfvo type="percentile" val="50"/>
        <cfvo type="max"/>
        <color rgb="FFF8696B"/>
        <color rgb="FFFFEB84"/>
        <color rgb="FF63BE7B"/>
      </colorScale>
    </cfRule>
  </conditionalFormatting>
  <dataValidations count="3">
    <dataValidation allowBlank="1" showInputMessage="1" showErrorMessage="1" sqref="N5 O6:O10 N11 N2 N28 N41:N1048576" xr:uid="{88596B17-F2ED-434A-92DB-6E25C956F821}"/>
    <dataValidation type="list" allowBlank="1" showInputMessage="1" showErrorMessage="1" sqref="K13:K23" xr:uid="{A7CC2BE3-5341-454B-9BBB-817FB81F3653}">
      <formula1>$Q$3:$Q$8</formula1>
    </dataValidation>
    <dataValidation type="list" allowBlank="1" showInputMessage="1" showErrorMessage="1" sqref="H31:H40" xr:uid="{FAFF769D-58A9-4D06-99CD-1CCAD2341660}">
      <formula1>$Y$4:$Y$5</formula1>
    </dataValidation>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7" stopIfTrue="1" operator="containsText" id="{E9CB4D8A-7526-446B-95F5-C2179A323D27}">
            <xm:f>NOT(ISERROR(SEARCH($Z$4,E25)))</xm:f>
            <xm:f>$Z$4</xm:f>
            <x14:dxf>
              <fill>
                <patternFill>
                  <bgColor rgb="FFFFFF99"/>
                </patternFill>
              </fill>
            </x14:dxf>
          </x14:cfRule>
          <x14:cfRule type="containsText" priority="8" stopIfTrue="1" operator="containsText" id="{CB6DC59A-7278-49ED-924A-6D6EA6F36F3D}">
            <xm:f>NOT(ISERROR(SEARCH($Z$3,E25)))</xm:f>
            <xm:f>$Z$3</xm:f>
            <x14:dxf>
              <fill>
                <patternFill>
                  <bgColor rgb="FFFFCCCC"/>
                </patternFill>
              </fill>
            </x14:dxf>
          </x14:cfRule>
          <x14:cfRule type="containsText" priority="9" stopIfTrue="1" operator="containsText" id="{71F0764A-8FD6-43C3-ACFC-85526A32ED72}">
            <xm:f>NOT(ISERROR(SEARCH(#REF!,E25)))</xm:f>
            <xm:f>#REF!</xm:f>
            <x14:dxf>
              <fill>
                <patternFill>
                  <bgColor theme="9" tint="0.39994506668294322"/>
                </patternFill>
              </fill>
            </x14:dxf>
          </x14:cfRule>
          <xm:sqref>E25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17C75B0-EB30-48CE-9CC0-14916874416E}">
          <x14:formula1>
            <xm:f>'0.APQP GRC'!$Y$3:$Y$8</xm:f>
          </x14:formula1>
          <xm:sqref>E25:F25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1A7C-6771-4E9F-9451-7F42C1FCBA34}">
  <sheetPr codeName="Hoja7">
    <outlinePr summaryBelow="0" summaryRight="0"/>
    <pageSetUpPr fitToPage="1"/>
  </sheetPr>
  <dimension ref="A1:AT98"/>
  <sheetViews>
    <sheetView showGridLines="0" topLeftCell="A21" zoomScale="90" zoomScaleNormal="90" zoomScaleSheetLayoutView="40" zoomScalePageLayoutView="55" workbookViewId="0">
      <selection activeCell="D18" sqref="D18:H18"/>
    </sheetView>
  </sheetViews>
  <sheetFormatPr baseColWidth="10" defaultColWidth="0" defaultRowHeight="0" customHeight="1" zeroHeight="1" outlineLevelRow="1" outlineLevelCol="1" x14ac:dyDescent="0.45"/>
  <cols>
    <col min="1" max="1" width="4.453125" style="3" customWidth="1"/>
    <col min="2" max="2" width="10.54296875" style="346" customWidth="1"/>
    <col min="3" max="5" width="10" style="346" customWidth="1"/>
    <col min="6" max="6" width="13.81640625" style="346" customWidth="1"/>
    <col min="7" max="7" width="30" style="346" customWidth="1"/>
    <col min="8" max="8" width="18.453125" style="346" customWidth="1"/>
    <col min="9" max="9" width="53.1796875" style="346" bestFit="1" customWidth="1" outlineLevel="1"/>
    <col min="10" max="10" width="21" style="346" customWidth="1" collapsed="1"/>
    <col min="11" max="12" width="18.81640625" style="346" customWidth="1"/>
    <col min="13" max="13" width="23" style="346" customWidth="1"/>
    <col min="14" max="14" width="18.1796875" style="346" customWidth="1" outlineLevel="1"/>
    <col min="15" max="15" width="66.81640625" style="356" customWidth="1" outlineLevel="1"/>
    <col min="16" max="16" width="4.1796875" style="3" customWidth="1" collapsed="1"/>
    <col min="17" max="17" width="20.1796875" style="123" hidden="1" customWidth="1"/>
    <col min="18" max="18" width="12.54296875" style="123" hidden="1" customWidth="1"/>
    <col min="19" max="23" width="11.54296875" style="123" hidden="1" customWidth="1"/>
    <col min="24" max="46" width="0" style="123" hidden="1" customWidth="1"/>
    <col min="47" max="16384" width="11.54296875" style="123" hidden="1"/>
  </cols>
  <sheetData>
    <row r="1" spans="2:25" ht="15" customHeight="1" x14ac:dyDescent="0.45"/>
    <row r="2" spans="2:25" ht="15" customHeight="1" thickBot="1" x14ac:dyDescent="0.5"/>
    <row r="3" spans="2:25" ht="15" customHeight="1" x14ac:dyDescent="0.3">
      <c r="B3" s="748" t="s">
        <v>439</v>
      </c>
      <c r="C3" s="702"/>
      <c r="D3" s="702"/>
      <c r="E3" s="702"/>
      <c r="F3" s="702"/>
      <c r="G3" s="702"/>
      <c r="H3" s="702"/>
      <c r="I3" s="702"/>
      <c r="J3" s="702"/>
      <c r="K3" s="702"/>
      <c r="L3" s="702"/>
      <c r="M3" s="702"/>
      <c r="N3" s="702"/>
      <c r="O3" s="749"/>
      <c r="Q3" s="123" t="s">
        <v>3</v>
      </c>
      <c r="R3" s="123" t="s">
        <v>4</v>
      </c>
      <c r="S3" s="123" t="s">
        <v>5</v>
      </c>
      <c r="U3" s="123" t="s">
        <v>6</v>
      </c>
      <c r="W3" s="123" t="s">
        <v>6</v>
      </c>
    </row>
    <row r="4" spans="2:25" ht="61.4" customHeight="1" thickBot="1" x14ac:dyDescent="0.35">
      <c r="B4" s="750"/>
      <c r="C4" s="703"/>
      <c r="D4" s="703"/>
      <c r="E4" s="703"/>
      <c r="F4" s="703"/>
      <c r="G4" s="703"/>
      <c r="H4" s="703"/>
      <c r="I4" s="703"/>
      <c r="J4" s="703"/>
      <c r="K4" s="703"/>
      <c r="L4" s="703"/>
      <c r="M4" s="703"/>
      <c r="N4" s="703"/>
      <c r="O4" s="751"/>
      <c r="Q4" s="123" t="s">
        <v>8</v>
      </c>
      <c r="R4" s="123" t="s">
        <v>9</v>
      </c>
      <c r="S4" s="123" t="s">
        <v>10</v>
      </c>
      <c r="U4" s="123" t="s">
        <v>11</v>
      </c>
      <c r="W4" s="123" t="s">
        <v>12</v>
      </c>
    </row>
    <row r="5" spans="2:25" ht="18.5" x14ac:dyDescent="0.3">
      <c r="B5" s="357"/>
      <c r="C5" s="344"/>
      <c r="D5" s="344"/>
      <c r="E5" s="344"/>
      <c r="F5" s="344"/>
      <c r="G5" s="344"/>
      <c r="H5" s="344"/>
      <c r="I5" s="345"/>
      <c r="J5" s="425"/>
      <c r="K5" s="425"/>
      <c r="L5" s="425"/>
      <c r="M5" s="425"/>
      <c r="N5" s="771"/>
      <c r="O5" s="772"/>
      <c r="R5" s="123" t="s">
        <v>14</v>
      </c>
      <c r="U5" s="123" t="s">
        <v>15</v>
      </c>
      <c r="W5" s="123" t="s">
        <v>16</v>
      </c>
    </row>
    <row r="6" spans="2:25" ht="18.5" x14ac:dyDescent="0.45">
      <c r="B6" s="358"/>
      <c r="C6" s="348"/>
      <c r="D6" s="348"/>
      <c r="H6" s="347" t="s">
        <v>17</v>
      </c>
      <c r="I6" s="423" t="str">
        <f>_xlfn.CONCAT('0.APQP GRC'!D6:F6)</f>
        <v>Name Surname</v>
      </c>
      <c r="K6" s="349" t="s">
        <v>19</v>
      </c>
      <c r="L6" s="349"/>
      <c r="M6" s="423" t="str">
        <f>_xlfn.CONCAT('0.APQP GRC'!H6,)</f>
        <v/>
      </c>
      <c r="N6" s="423"/>
      <c r="O6" s="432"/>
      <c r="W6" s="123" t="s">
        <v>21</v>
      </c>
    </row>
    <row r="7" spans="2:25" ht="18.5" x14ac:dyDescent="0.45">
      <c r="B7" s="358"/>
      <c r="C7" s="348"/>
      <c r="D7" s="348"/>
      <c r="H7" s="347" t="s">
        <v>22</v>
      </c>
      <c r="I7" s="423" t="str">
        <f>_xlfn.CONCAT('0.APQP GRC'!D7:F7)</f>
        <v>X-12345-678</v>
      </c>
      <c r="K7" s="350" t="s">
        <v>24</v>
      </c>
      <c r="L7" s="350"/>
      <c r="M7" s="423" t="str">
        <f>_xlfn.CONCAT('0.APQP GRC'!H7,)</f>
        <v/>
      </c>
      <c r="N7" s="423"/>
      <c r="O7" s="432"/>
      <c r="P7" s="122"/>
      <c r="Q7" s="124"/>
      <c r="R7" s="124"/>
      <c r="S7" s="124"/>
      <c r="T7" s="124"/>
      <c r="V7" s="124"/>
      <c r="W7" s="123" t="s">
        <v>26</v>
      </c>
      <c r="X7" s="124"/>
      <c r="Y7" s="124"/>
    </row>
    <row r="8" spans="2:25" ht="37" x14ac:dyDescent="0.45">
      <c r="B8" s="358"/>
      <c r="C8" s="348"/>
      <c r="D8" s="348"/>
      <c r="H8" s="347" t="s">
        <v>27</v>
      </c>
      <c r="I8" s="423" t="str">
        <f>_xlfn.CONCAT('0.APQP GRC'!D8:F8)</f>
        <v>RT23423AA</v>
      </c>
      <c r="K8" s="351" t="s">
        <v>426</v>
      </c>
      <c r="L8" s="351"/>
      <c r="M8" s="423" t="str">
        <f>_xlfn.CONCAT('0.APQP GRC'!H8,)</f>
        <v>Name of the customer</v>
      </c>
      <c r="N8" s="423"/>
      <c r="O8" s="432"/>
      <c r="P8" s="122"/>
      <c r="Q8" s="124"/>
      <c r="R8" s="124"/>
      <c r="S8" s="124"/>
      <c r="T8" s="124"/>
      <c r="V8" s="124"/>
      <c r="W8" s="124"/>
      <c r="X8" s="124"/>
      <c r="Y8" s="124"/>
    </row>
    <row r="9" spans="2:25" ht="18.5" x14ac:dyDescent="0.45">
      <c r="B9" s="358"/>
      <c r="C9" s="348"/>
      <c r="D9" s="348"/>
      <c r="H9" s="347" t="s">
        <v>31</v>
      </c>
      <c r="I9" s="423" t="str">
        <f>_xlfn.CONCAT('0.APQP GRC'!D9:F9)</f>
        <v/>
      </c>
      <c r="K9" s="351" t="s">
        <v>32</v>
      </c>
      <c r="L9" s="351"/>
      <c r="M9" s="423" t="str">
        <f>_xlfn.CONCAT('0.APQP GRC'!H9,)</f>
        <v/>
      </c>
      <c r="N9" s="423"/>
      <c r="O9" s="432"/>
      <c r="P9" s="122"/>
      <c r="Q9" s="124"/>
      <c r="R9" s="124"/>
      <c r="S9" s="124"/>
      <c r="T9" s="124"/>
      <c r="U9" s="124"/>
      <c r="V9" s="124"/>
      <c r="W9" s="124"/>
      <c r="X9" s="124"/>
      <c r="Y9" s="124"/>
    </row>
    <row r="10" spans="2:25" ht="18.5" x14ac:dyDescent="0.45">
      <c r="B10" s="358"/>
      <c r="C10" s="348"/>
      <c r="D10" s="348"/>
      <c r="H10" s="347" t="s">
        <v>33</v>
      </c>
      <c r="I10" s="423" t="str">
        <f>_xlfn.CONCAT('0.APQP GRC'!D10:F10)</f>
        <v/>
      </c>
      <c r="K10" s="351" t="s">
        <v>34</v>
      </c>
      <c r="L10" s="351"/>
      <c r="M10" s="423" t="str">
        <f>_xlfn.CONCAT('0.APQP GRC'!H10,)</f>
        <v/>
      </c>
      <c r="N10" s="423"/>
      <c r="O10" s="432"/>
      <c r="P10" s="122"/>
      <c r="Q10" s="124"/>
      <c r="R10" s="124"/>
      <c r="S10" s="124"/>
      <c r="T10" s="124"/>
      <c r="U10" s="124"/>
      <c r="V10" s="124"/>
      <c r="W10" s="124"/>
      <c r="X10" s="124"/>
      <c r="Y10" s="124"/>
    </row>
    <row r="11" spans="2:25" ht="19" thickBot="1" x14ac:dyDescent="0.5">
      <c r="B11" s="358"/>
      <c r="C11" s="345"/>
      <c r="D11" s="345"/>
      <c r="F11" s="345"/>
      <c r="G11" s="345"/>
      <c r="H11" s="345"/>
      <c r="I11" s="347"/>
      <c r="J11" s="433"/>
      <c r="K11" s="345"/>
      <c r="L11" s="345"/>
      <c r="M11" s="345"/>
      <c r="N11" s="434"/>
      <c r="O11" s="432"/>
      <c r="P11" s="122"/>
      <c r="Q11" s="124"/>
      <c r="R11" s="124"/>
      <c r="S11" s="124"/>
      <c r="T11" s="124"/>
      <c r="U11" s="124"/>
      <c r="V11" s="124"/>
      <c r="W11" s="124"/>
      <c r="X11" s="124"/>
      <c r="Y11" s="124"/>
    </row>
    <row r="12" spans="2:25" ht="48.5" thickBot="1" x14ac:dyDescent="0.35">
      <c r="B12" s="485" t="s">
        <v>127</v>
      </c>
      <c r="C12" s="486" t="s">
        <v>427</v>
      </c>
      <c r="D12" s="747" t="s">
        <v>428</v>
      </c>
      <c r="E12" s="747"/>
      <c r="F12" s="747"/>
      <c r="G12" s="747"/>
      <c r="H12" s="747"/>
      <c r="I12" s="330" t="s">
        <v>36</v>
      </c>
      <c r="J12" s="331" t="s">
        <v>37</v>
      </c>
      <c r="K12" s="420" t="s">
        <v>38</v>
      </c>
      <c r="L12" s="516" t="s">
        <v>440</v>
      </c>
      <c r="M12" s="334" t="s">
        <v>39</v>
      </c>
      <c r="N12" s="332" t="s">
        <v>40</v>
      </c>
      <c r="O12" s="335" t="s">
        <v>41</v>
      </c>
      <c r="P12" s="122"/>
      <c r="Q12" s="124"/>
      <c r="R12" s="124"/>
      <c r="S12" s="124"/>
      <c r="T12" s="124"/>
      <c r="U12" s="124"/>
      <c r="V12" s="124"/>
      <c r="W12" s="124"/>
      <c r="X12" s="124"/>
      <c r="Y12" s="124"/>
    </row>
    <row r="13" spans="2:25" ht="86.25" hidden="1" customHeight="1" outlineLevel="1" x14ac:dyDescent="0.3">
      <c r="B13" s="775" t="s">
        <v>129</v>
      </c>
      <c r="C13" s="337" t="s">
        <v>130</v>
      </c>
      <c r="D13" s="778" t="s">
        <v>131</v>
      </c>
      <c r="E13" s="779"/>
      <c r="F13" s="779"/>
      <c r="G13" s="779"/>
      <c r="H13" s="779"/>
      <c r="I13" s="361" t="s">
        <v>132</v>
      </c>
      <c r="J13" s="503" t="s">
        <v>422</v>
      </c>
      <c r="K13" s="352"/>
      <c r="L13" s="352"/>
      <c r="M13" s="362"/>
      <c r="N13" s="363"/>
      <c r="O13" s="428" t="s">
        <v>133</v>
      </c>
      <c r="P13" s="122"/>
      <c r="Q13" s="124"/>
      <c r="R13" s="124"/>
      <c r="S13" s="124"/>
      <c r="T13" s="124"/>
      <c r="U13" s="124"/>
      <c r="V13" s="124"/>
      <c r="W13" s="124"/>
      <c r="X13" s="124"/>
      <c r="Y13" s="124"/>
    </row>
    <row r="14" spans="2:25" ht="150.5" hidden="1" outlineLevel="1" x14ac:dyDescent="0.3">
      <c r="B14" s="776"/>
      <c r="C14" s="364" t="s">
        <v>138</v>
      </c>
      <c r="D14" s="766" t="s">
        <v>139</v>
      </c>
      <c r="E14" s="780"/>
      <c r="F14" s="780"/>
      <c r="G14" s="780"/>
      <c r="H14" s="780"/>
      <c r="I14" s="366" t="s">
        <v>441</v>
      </c>
      <c r="J14" s="503" t="s">
        <v>422</v>
      </c>
      <c r="K14" s="354"/>
      <c r="L14" s="354"/>
      <c r="M14" s="367"/>
      <c r="N14" s="355"/>
      <c r="O14" s="429" t="s">
        <v>141</v>
      </c>
      <c r="P14" s="122"/>
      <c r="Q14" s="124"/>
      <c r="R14" s="124"/>
      <c r="S14" s="124"/>
      <c r="T14" s="124"/>
      <c r="U14" s="124"/>
      <c r="V14" s="124"/>
      <c r="W14" s="124"/>
      <c r="X14" s="124"/>
      <c r="Y14" s="124"/>
    </row>
    <row r="15" spans="2:25" ht="132" hidden="1" outlineLevel="1" x14ac:dyDescent="0.6">
      <c r="B15" s="776"/>
      <c r="C15" s="364" t="s">
        <v>146</v>
      </c>
      <c r="D15" s="766" t="s">
        <v>147</v>
      </c>
      <c r="E15" s="780"/>
      <c r="F15" s="780"/>
      <c r="G15" s="780"/>
      <c r="H15" s="780"/>
      <c r="I15" s="368" t="s">
        <v>442</v>
      </c>
      <c r="J15" s="503" t="s">
        <v>422</v>
      </c>
      <c r="K15" s="369"/>
      <c r="L15" s="369"/>
      <c r="M15" s="370"/>
      <c r="N15" s="371"/>
      <c r="O15" s="429" t="s">
        <v>149</v>
      </c>
      <c r="P15" s="122"/>
      <c r="Q15" s="124"/>
      <c r="R15" s="124"/>
      <c r="S15" s="124"/>
      <c r="T15" s="124"/>
      <c r="U15" s="124"/>
      <c r="V15" s="124"/>
      <c r="W15" s="124"/>
      <c r="X15" s="124"/>
      <c r="Y15" s="124"/>
    </row>
    <row r="16" spans="2:25" ht="21.5" hidden="1" outlineLevel="1" x14ac:dyDescent="0.3">
      <c r="B16" s="776"/>
      <c r="C16" s="364" t="s">
        <v>155</v>
      </c>
      <c r="D16" s="780" t="s">
        <v>156</v>
      </c>
      <c r="E16" s="780"/>
      <c r="F16" s="780"/>
      <c r="G16" s="780"/>
      <c r="H16" s="780"/>
      <c r="I16" s="366" t="s">
        <v>157</v>
      </c>
      <c r="J16" s="503" t="s">
        <v>422</v>
      </c>
      <c r="K16" s="354"/>
      <c r="L16" s="354"/>
      <c r="M16" s="367" t="s">
        <v>158</v>
      </c>
      <c r="N16" s="355"/>
      <c r="O16" s="429" t="s">
        <v>159</v>
      </c>
      <c r="P16" s="122"/>
      <c r="Q16" s="124"/>
      <c r="R16" s="124"/>
      <c r="S16" s="124"/>
      <c r="T16" s="124"/>
      <c r="U16" s="124"/>
      <c r="V16" s="124"/>
      <c r="W16" s="124"/>
      <c r="X16" s="124"/>
      <c r="Y16" s="124"/>
    </row>
    <row r="17" spans="2:25" ht="112.4" hidden="1" customHeight="1" outlineLevel="1" x14ac:dyDescent="0.3">
      <c r="B17" s="776"/>
      <c r="C17" s="364" t="s">
        <v>161</v>
      </c>
      <c r="D17" s="780" t="s">
        <v>162</v>
      </c>
      <c r="E17" s="780"/>
      <c r="F17" s="780"/>
      <c r="G17" s="780"/>
      <c r="H17" s="780"/>
      <c r="I17" s="366" t="s">
        <v>443</v>
      </c>
      <c r="J17" s="503" t="s">
        <v>422</v>
      </c>
      <c r="K17" s="354"/>
      <c r="L17" s="354"/>
      <c r="M17" s="367"/>
      <c r="N17" s="355"/>
      <c r="O17" s="429" t="s">
        <v>164</v>
      </c>
      <c r="P17" s="122"/>
      <c r="Q17" s="124"/>
      <c r="R17" s="124"/>
      <c r="S17" s="124"/>
      <c r="T17" s="124"/>
      <c r="U17" s="124"/>
      <c r="V17" s="124"/>
      <c r="W17" s="124"/>
      <c r="X17" s="124"/>
      <c r="Y17" s="124"/>
    </row>
    <row r="18" spans="2:25" ht="376" customHeight="1" outlineLevel="1" x14ac:dyDescent="0.3">
      <c r="B18" s="776"/>
      <c r="C18" s="364" t="s">
        <v>168</v>
      </c>
      <c r="D18" s="780" t="s">
        <v>169</v>
      </c>
      <c r="E18" s="780"/>
      <c r="F18" s="780"/>
      <c r="G18" s="780"/>
      <c r="H18" s="780"/>
      <c r="I18" s="372" t="s">
        <v>170</v>
      </c>
      <c r="J18" s="503" t="s">
        <v>422</v>
      </c>
      <c r="K18" s="354"/>
      <c r="L18" s="354"/>
      <c r="M18" s="367"/>
      <c r="N18" s="355"/>
      <c r="O18" s="429" t="s">
        <v>708</v>
      </c>
      <c r="P18" s="122"/>
      <c r="Q18" s="124"/>
      <c r="R18" s="124"/>
      <c r="S18" s="124"/>
      <c r="T18" s="124"/>
      <c r="U18" s="124"/>
      <c r="V18" s="124"/>
      <c r="W18" s="124"/>
      <c r="X18" s="124"/>
      <c r="Y18" s="124"/>
    </row>
    <row r="19" spans="2:25" ht="132" outlineLevel="1" x14ac:dyDescent="0.3">
      <c r="B19" s="776"/>
      <c r="C19" s="364" t="s">
        <v>177</v>
      </c>
      <c r="D19" s="766" t="s">
        <v>388</v>
      </c>
      <c r="E19" s="766"/>
      <c r="F19" s="766"/>
      <c r="G19" s="766"/>
      <c r="H19" s="766"/>
      <c r="I19" s="366" t="s">
        <v>444</v>
      </c>
      <c r="J19" s="503" t="s">
        <v>422</v>
      </c>
      <c r="K19" s="354"/>
      <c r="L19" s="354"/>
      <c r="M19" s="367"/>
      <c r="N19" s="355"/>
      <c r="O19" s="429" t="s">
        <v>180</v>
      </c>
      <c r="P19" s="122"/>
      <c r="Q19" s="124"/>
      <c r="R19" s="124"/>
      <c r="S19" s="124"/>
      <c r="T19" s="124"/>
      <c r="U19" s="124"/>
      <c r="V19" s="124"/>
      <c r="W19" s="124"/>
      <c r="X19" s="124"/>
      <c r="Y19" s="124"/>
    </row>
    <row r="20" spans="2:25" ht="82.5" outlineLevel="1" x14ac:dyDescent="0.3">
      <c r="B20" s="776"/>
      <c r="C20" s="364" t="s">
        <v>184</v>
      </c>
      <c r="D20" s="781" t="s">
        <v>185</v>
      </c>
      <c r="E20" s="782"/>
      <c r="F20" s="782"/>
      <c r="G20" s="782"/>
      <c r="H20" s="782"/>
      <c r="I20" s="372" t="s">
        <v>186</v>
      </c>
      <c r="J20" s="503" t="s">
        <v>422</v>
      </c>
      <c r="K20" s="354"/>
      <c r="L20" s="354"/>
      <c r="M20" s="367"/>
      <c r="N20" s="355"/>
      <c r="O20" s="429" t="s">
        <v>187</v>
      </c>
      <c r="P20" s="122"/>
      <c r="Q20" s="124"/>
      <c r="R20" s="124"/>
      <c r="S20" s="124"/>
      <c r="T20" s="124"/>
      <c r="U20" s="124"/>
      <c r="V20" s="124"/>
      <c r="W20" s="124"/>
      <c r="X20" s="124"/>
      <c r="Y20" s="124"/>
    </row>
    <row r="21" spans="2:25" ht="132" outlineLevel="1" x14ac:dyDescent="0.3">
      <c r="B21" s="776"/>
      <c r="C21" s="364" t="s">
        <v>192</v>
      </c>
      <c r="D21" s="781" t="s">
        <v>193</v>
      </c>
      <c r="E21" s="782"/>
      <c r="F21" s="782"/>
      <c r="G21" s="782"/>
      <c r="H21" s="782"/>
      <c r="I21" s="372" t="s">
        <v>194</v>
      </c>
      <c r="J21" s="503" t="s">
        <v>422</v>
      </c>
      <c r="K21" s="354"/>
      <c r="L21" s="354"/>
      <c r="M21" s="367"/>
      <c r="N21" s="355"/>
      <c r="O21" s="429" t="s">
        <v>195</v>
      </c>
      <c r="P21" s="122"/>
      <c r="Q21" s="124"/>
      <c r="R21" s="124"/>
      <c r="S21" s="124"/>
      <c r="T21" s="124"/>
      <c r="U21" s="124"/>
      <c r="V21" s="124"/>
      <c r="W21" s="124"/>
      <c r="X21" s="124"/>
      <c r="Y21" s="124"/>
    </row>
    <row r="22" spans="2:25" ht="159.65" customHeight="1" outlineLevel="1" x14ac:dyDescent="0.3">
      <c r="B22" s="776"/>
      <c r="C22" s="364" t="s">
        <v>200</v>
      </c>
      <c r="D22" s="781" t="s">
        <v>201</v>
      </c>
      <c r="E22" s="782"/>
      <c r="F22" s="782"/>
      <c r="G22" s="782"/>
      <c r="H22" s="782"/>
      <c r="I22" s="372" t="s">
        <v>202</v>
      </c>
      <c r="J22" s="503" t="s">
        <v>422</v>
      </c>
      <c r="K22" s="354"/>
      <c r="L22" s="354"/>
      <c r="M22" s="367"/>
      <c r="N22" s="355"/>
      <c r="O22" s="429" t="s">
        <v>203</v>
      </c>
      <c r="P22" s="122"/>
      <c r="Q22" s="124"/>
      <c r="R22" s="124"/>
      <c r="S22" s="124"/>
      <c r="T22" s="124"/>
      <c r="U22" s="124"/>
      <c r="V22" s="124"/>
      <c r="W22" s="124"/>
      <c r="X22" s="124"/>
      <c r="Y22" s="124"/>
    </row>
    <row r="23" spans="2:25" ht="193.5" outlineLevel="1" x14ac:dyDescent="0.3">
      <c r="B23" s="776"/>
      <c r="C23" s="364" t="s">
        <v>209</v>
      </c>
      <c r="D23" s="773" t="s">
        <v>445</v>
      </c>
      <c r="E23" s="782"/>
      <c r="F23" s="782"/>
      <c r="G23" s="782"/>
      <c r="H23" s="782"/>
      <c r="I23" s="519" t="s">
        <v>446</v>
      </c>
      <c r="J23" s="503" t="s">
        <v>422</v>
      </c>
      <c r="K23" s="354"/>
      <c r="L23" s="354"/>
      <c r="M23" s="367"/>
      <c r="N23" s="355"/>
      <c r="O23" s="429" t="s">
        <v>212</v>
      </c>
      <c r="P23" s="122"/>
      <c r="Q23" s="124"/>
      <c r="R23" s="124"/>
      <c r="S23" s="124"/>
      <c r="T23" s="124"/>
      <c r="U23" s="124"/>
      <c r="V23" s="124"/>
      <c r="W23" s="124"/>
      <c r="X23" s="124"/>
      <c r="Y23" s="124"/>
    </row>
    <row r="24" spans="2:25" ht="207.65" customHeight="1" outlineLevel="1" x14ac:dyDescent="0.3">
      <c r="B24" s="776"/>
      <c r="C24" s="364" t="s">
        <v>218</v>
      </c>
      <c r="D24" s="766" t="s">
        <v>219</v>
      </c>
      <c r="E24" s="780"/>
      <c r="F24" s="780"/>
      <c r="G24" s="780"/>
      <c r="H24" s="780"/>
      <c r="I24" s="366" t="s">
        <v>447</v>
      </c>
      <c r="J24" s="503" t="s">
        <v>422</v>
      </c>
      <c r="K24" s="365"/>
      <c r="L24" s="365"/>
      <c r="M24" s="365"/>
      <c r="N24" s="365"/>
      <c r="O24" s="429" t="s">
        <v>221</v>
      </c>
      <c r="P24" s="122"/>
      <c r="Q24" s="124"/>
      <c r="R24" s="124"/>
      <c r="S24" s="124"/>
      <c r="T24" s="124"/>
      <c r="U24" s="124"/>
      <c r="V24" s="124"/>
      <c r="W24" s="124"/>
      <c r="X24" s="124"/>
      <c r="Y24" s="124"/>
    </row>
    <row r="25" spans="2:25" ht="115.5" outlineLevel="1" x14ac:dyDescent="0.3">
      <c r="B25" s="776"/>
      <c r="C25" s="364" t="s">
        <v>224</v>
      </c>
      <c r="D25" s="773" t="s">
        <v>225</v>
      </c>
      <c r="E25" s="782"/>
      <c r="F25" s="782"/>
      <c r="G25" s="782"/>
      <c r="H25" s="782"/>
      <c r="I25" s="372" t="s">
        <v>226</v>
      </c>
      <c r="J25" s="503" t="s">
        <v>422</v>
      </c>
      <c r="K25" s="354"/>
      <c r="L25" s="354"/>
      <c r="M25" s="367"/>
      <c r="N25" s="355"/>
      <c r="O25" s="429" t="s">
        <v>227</v>
      </c>
      <c r="P25" s="122"/>
      <c r="Q25" s="124"/>
      <c r="R25" s="124"/>
      <c r="S25" s="124"/>
      <c r="T25" s="124"/>
      <c r="U25" s="124"/>
      <c r="V25" s="124"/>
      <c r="W25" s="124"/>
      <c r="X25" s="124"/>
      <c r="Y25" s="124"/>
    </row>
    <row r="26" spans="2:25" ht="155.9" customHeight="1" outlineLevel="1" x14ac:dyDescent="0.3">
      <c r="B26" s="776"/>
      <c r="C26" s="364" t="s">
        <v>229</v>
      </c>
      <c r="D26" s="781" t="s">
        <v>230</v>
      </c>
      <c r="E26" s="782"/>
      <c r="F26" s="782"/>
      <c r="G26" s="782"/>
      <c r="H26" s="782"/>
      <c r="I26" s="372" t="s">
        <v>85</v>
      </c>
      <c r="J26" s="503" t="s">
        <v>422</v>
      </c>
      <c r="K26" s="354"/>
      <c r="L26" s="354"/>
      <c r="M26" s="367"/>
      <c r="N26" s="355"/>
      <c r="O26" s="429" t="s">
        <v>231</v>
      </c>
      <c r="P26" s="122"/>
      <c r="Q26" s="124"/>
      <c r="R26" s="124"/>
      <c r="S26" s="124"/>
      <c r="T26" s="124"/>
      <c r="U26" s="124"/>
      <c r="V26" s="124"/>
      <c r="W26" s="124"/>
      <c r="X26" s="124"/>
      <c r="Y26" s="124"/>
    </row>
    <row r="27" spans="2:25" ht="313.5" outlineLevel="1" x14ac:dyDescent="0.3">
      <c r="B27" s="776"/>
      <c r="C27" s="364" t="s">
        <v>234</v>
      </c>
      <c r="D27" s="773" t="s">
        <v>448</v>
      </c>
      <c r="E27" s="774"/>
      <c r="F27" s="774"/>
      <c r="G27" s="774"/>
      <c r="H27" s="774"/>
      <c r="I27" s="366" t="s">
        <v>449</v>
      </c>
      <c r="J27" s="503" t="s">
        <v>422</v>
      </c>
      <c r="K27" s="354"/>
      <c r="L27" s="354"/>
      <c r="M27" s="373"/>
      <c r="N27" s="355"/>
      <c r="O27" s="429" t="s">
        <v>237</v>
      </c>
      <c r="P27" s="122"/>
      <c r="Q27" s="124"/>
      <c r="R27" s="124"/>
      <c r="S27" s="124"/>
      <c r="T27" s="124"/>
      <c r="U27" s="124"/>
      <c r="V27" s="124"/>
      <c r="W27" s="124"/>
      <c r="X27" s="124"/>
      <c r="Y27" s="124"/>
    </row>
    <row r="28" spans="2:25" ht="159" customHeight="1" outlineLevel="1" thickBot="1" x14ac:dyDescent="0.65">
      <c r="B28" s="776"/>
      <c r="C28" s="374" t="s">
        <v>243</v>
      </c>
      <c r="D28" s="783" t="s">
        <v>450</v>
      </c>
      <c r="E28" s="784"/>
      <c r="F28" s="784"/>
      <c r="G28" s="784"/>
      <c r="H28" s="784"/>
      <c r="I28" s="478" t="s">
        <v>245</v>
      </c>
      <c r="J28" s="503" t="s">
        <v>422</v>
      </c>
      <c r="K28" s="375"/>
      <c r="L28" s="375"/>
      <c r="M28" s="375"/>
      <c r="N28" s="375"/>
      <c r="O28" s="441" t="s">
        <v>246</v>
      </c>
      <c r="P28" s="122"/>
      <c r="Q28" s="124"/>
      <c r="R28" s="124"/>
      <c r="S28" s="124"/>
      <c r="T28" s="124"/>
      <c r="U28" s="124"/>
      <c r="V28" s="124"/>
      <c r="W28" s="124"/>
      <c r="X28" s="124"/>
      <c r="Y28" s="124"/>
    </row>
    <row r="29" spans="2:25" ht="46.5" customHeight="1" outlineLevel="1" thickBot="1" x14ac:dyDescent="0.35">
      <c r="B29" s="776"/>
      <c r="C29" s="785" t="s">
        <v>122</v>
      </c>
      <c r="D29" s="786"/>
      <c r="E29" s="786"/>
      <c r="F29" s="787"/>
      <c r="G29" s="475" t="s">
        <v>123</v>
      </c>
      <c r="H29" s="400"/>
      <c r="I29" s="400"/>
      <c r="J29" s="400"/>
      <c r="K29" s="400"/>
      <c r="L29" s="400"/>
      <c r="M29" s="400"/>
      <c r="N29" s="400"/>
      <c r="O29" s="458"/>
    </row>
    <row r="30" spans="2:25" ht="15" customHeight="1" outlineLevel="1" x14ac:dyDescent="0.3">
      <c r="B30" s="776"/>
      <c r="C30" s="668" t="s">
        <v>124</v>
      </c>
      <c r="D30" s="669"/>
      <c r="E30" s="576" t="s">
        <v>2</v>
      </c>
      <c r="F30" s="577"/>
      <c r="G30" s="788" t="s">
        <v>451</v>
      </c>
      <c r="H30" s="436"/>
      <c r="I30" s="437"/>
      <c r="J30" s="437"/>
      <c r="K30" s="437"/>
      <c r="L30" s="437"/>
      <c r="M30" s="438"/>
      <c r="N30" s="437"/>
      <c r="O30" s="439"/>
    </row>
    <row r="31" spans="2:25" ht="15" customHeight="1" outlineLevel="1" x14ac:dyDescent="0.3">
      <c r="B31" s="776"/>
      <c r="C31" s="677" t="s">
        <v>125</v>
      </c>
      <c r="D31" s="678"/>
      <c r="E31" s="679"/>
      <c r="F31" s="680"/>
      <c r="G31" s="789"/>
      <c r="H31" s="436"/>
      <c r="I31" s="437"/>
      <c r="J31" s="437"/>
      <c r="K31" s="437"/>
      <c r="L31" s="437"/>
      <c r="M31" s="437"/>
      <c r="N31" s="437"/>
      <c r="O31" s="439"/>
    </row>
    <row r="32" spans="2:25" ht="15" customHeight="1" outlineLevel="1" thickBot="1" x14ac:dyDescent="0.35">
      <c r="B32" s="777"/>
      <c r="C32" s="654" t="s">
        <v>126</v>
      </c>
      <c r="D32" s="655"/>
      <c r="E32" s="656"/>
      <c r="F32" s="657"/>
      <c r="G32" s="790"/>
      <c r="H32" s="401"/>
      <c r="I32" s="402"/>
      <c r="J32" s="402"/>
      <c r="K32" s="402"/>
      <c r="L32" s="402"/>
      <c r="M32" s="402"/>
      <c r="N32" s="402"/>
      <c r="O32" s="440"/>
    </row>
    <row r="33" spans="2:37" s="3" customFormat="1" ht="15" customHeight="1" thickBot="1" x14ac:dyDescent="0.5">
      <c r="B33" s="346"/>
      <c r="C33" s="346"/>
      <c r="D33" s="346"/>
      <c r="E33" s="346"/>
      <c r="F33" s="346"/>
      <c r="G33" s="346"/>
      <c r="H33" s="346"/>
      <c r="I33" s="346"/>
      <c r="J33" s="346"/>
      <c r="K33" s="346"/>
      <c r="L33" s="346"/>
      <c r="M33" s="346"/>
      <c r="N33" s="346"/>
      <c r="O33" s="356"/>
      <c r="Q33" s="123"/>
      <c r="R33" s="123"/>
      <c r="S33" s="123"/>
      <c r="T33" s="123"/>
      <c r="U33" s="123"/>
      <c r="V33" s="123"/>
      <c r="W33" s="123"/>
      <c r="X33" s="123"/>
      <c r="Y33" s="123"/>
      <c r="Z33" s="123"/>
      <c r="AA33" s="123"/>
      <c r="AB33" s="123"/>
      <c r="AC33" s="123"/>
      <c r="AD33" s="123"/>
      <c r="AE33" s="123"/>
      <c r="AF33" s="123"/>
      <c r="AG33" s="123"/>
      <c r="AH33" s="123"/>
      <c r="AI33" s="123"/>
      <c r="AJ33" s="123"/>
    </row>
    <row r="34" spans="2:37" ht="21.65" customHeight="1" thickTop="1" x14ac:dyDescent="0.3">
      <c r="B34" s="3"/>
      <c r="C34" s="724" t="s">
        <v>710</v>
      </c>
      <c r="D34" s="725"/>
      <c r="E34" s="725"/>
      <c r="F34" s="725"/>
      <c r="G34" s="725"/>
      <c r="H34" s="725"/>
      <c r="I34" s="725"/>
      <c r="J34" s="725"/>
      <c r="K34" s="725"/>
      <c r="L34" s="725"/>
      <c r="M34" s="725"/>
      <c r="N34" s="725"/>
      <c r="O34" s="726"/>
      <c r="Q34" s="3"/>
    </row>
    <row r="35" spans="2:37" s="527" customFormat="1" ht="20.5" customHeight="1" x14ac:dyDescent="0.35">
      <c r="C35" s="530" t="s">
        <v>427</v>
      </c>
      <c r="D35" s="768" t="s">
        <v>711</v>
      </c>
      <c r="E35" s="769"/>
      <c r="F35" s="531" t="s">
        <v>712</v>
      </c>
      <c r="G35" s="531" t="s">
        <v>715</v>
      </c>
      <c r="H35" s="531" t="s">
        <v>713</v>
      </c>
      <c r="I35" s="770" t="s">
        <v>714</v>
      </c>
      <c r="J35" s="728"/>
      <c r="K35" s="728"/>
      <c r="L35" s="728"/>
      <c r="M35" s="728"/>
      <c r="N35" s="728"/>
      <c r="O35" s="729"/>
      <c r="R35" s="528"/>
      <c r="S35" s="528"/>
      <c r="T35" s="528"/>
      <c r="U35" s="528"/>
      <c r="V35" s="528"/>
      <c r="W35" s="528"/>
      <c r="X35" s="528"/>
      <c r="Y35" s="528"/>
      <c r="Z35" s="528"/>
      <c r="AA35" s="528"/>
      <c r="AB35" s="528"/>
      <c r="AC35" s="528"/>
      <c r="AD35" s="528"/>
      <c r="AE35" s="528"/>
      <c r="AF35" s="528"/>
      <c r="AG35" s="528"/>
      <c r="AH35" s="528"/>
      <c r="AI35" s="528"/>
      <c r="AJ35" s="528"/>
      <c r="AK35" s="528"/>
    </row>
    <row r="36" spans="2:37" s="527" customFormat="1" ht="20.5" customHeight="1" x14ac:dyDescent="0.35">
      <c r="C36" s="529">
        <v>1</v>
      </c>
      <c r="D36" s="718"/>
      <c r="E36" s="767"/>
      <c r="F36" s="176"/>
      <c r="G36" s="176"/>
      <c r="H36" s="176"/>
      <c r="I36" s="718"/>
      <c r="J36" s="719"/>
      <c r="K36" s="719"/>
      <c r="L36" s="719"/>
      <c r="M36" s="719"/>
      <c r="N36" s="719"/>
      <c r="O36" s="720"/>
      <c r="R36" s="528"/>
      <c r="S36" s="528"/>
      <c r="T36" s="528"/>
      <c r="U36" s="528"/>
      <c r="V36" s="528"/>
      <c r="W36" s="528"/>
      <c r="X36" s="528"/>
      <c r="Y36" s="528"/>
      <c r="Z36" s="528"/>
      <c r="AA36" s="528"/>
      <c r="AB36" s="528"/>
      <c r="AC36" s="528"/>
      <c r="AD36" s="528"/>
      <c r="AE36" s="528"/>
      <c r="AF36" s="528"/>
      <c r="AG36" s="528"/>
      <c r="AH36" s="528"/>
      <c r="AI36" s="528"/>
      <c r="AJ36" s="528"/>
      <c r="AK36" s="528"/>
    </row>
    <row r="37" spans="2:37" s="527" customFormat="1" ht="20.5" customHeight="1" x14ac:dyDescent="0.35">
      <c r="C37" s="529">
        <v>2</v>
      </c>
      <c r="D37" s="718"/>
      <c r="E37" s="767"/>
      <c r="F37" s="176"/>
      <c r="G37" s="176"/>
      <c r="H37" s="176"/>
      <c r="I37" s="718"/>
      <c r="J37" s="719"/>
      <c r="K37" s="719"/>
      <c r="L37" s="719"/>
      <c r="M37" s="719"/>
      <c r="N37" s="719"/>
      <c r="O37" s="720"/>
      <c r="R37" s="528"/>
      <c r="S37" s="528"/>
      <c r="T37" s="528"/>
      <c r="U37" s="528"/>
      <c r="V37" s="528"/>
      <c r="W37" s="528"/>
      <c r="X37" s="528"/>
      <c r="Y37" s="528"/>
      <c r="Z37" s="528"/>
      <c r="AA37" s="528"/>
      <c r="AB37" s="528"/>
      <c r="AC37" s="528"/>
      <c r="AD37" s="528"/>
      <c r="AE37" s="528"/>
      <c r="AF37" s="528"/>
      <c r="AG37" s="528"/>
      <c r="AH37" s="528"/>
      <c r="AI37" s="528"/>
      <c r="AJ37" s="528"/>
      <c r="AK37" s="528"/>
    </row>
    <row r="38" spans="2:37" s="527" customFormat="1" ht="20.5" customHeight="1" x14ac:dyDescent="0.35">
      <c r="C38" s="529">
        <v>3</v>
      </c>
      <c r="D38" s="718"/>
      <c r="E38" s="767"/>
      <c r="F38" s="176"/>
      <c r="G38" s="176"/>
      <c r="H38" s="176"/>
      <c r="I38" s="718"/>
      <c r="J38" s="719"/>
      <c r="K38" s="719"/>
      <c r="L38" s="719"/>
      <c r="M38" s="719"/>
      <c r="N38" s="719"/>
      <c r="O38" s="720"/>
      <c r="R38" s="528"/>
      <c r="S38" s="528"/>
      <c r="T38" s="528"/>
      <c r="U38" s="528"/>
      <c r="V38" s="528"/>
      <c r="W38" s="528"/>
      <c r="X38" s="528"/>
      <c r="Y38" s="528"/>
      <c r="Z38" s="528"/>
      <c r="AA38" s="528"/>
      <c r="AB38" s="528"/>
      <c r="AC38" s="528"/>
      <c r="AD38" s="528"/>
      <c r="AE38" s="528"/>
      <c r="AF38" s="528"/>
      <c r="AG38" s="528"/>
      <c r="AH38" s="528"/>
      <c r="AI38" s="528"/>
      <c r="AJ38" s="528"/>
      <c r="AK38" s="528"/>
    </row>
    <row r="39" spans="2:37" s="527" customFormat="1" ht="20.5" customHeight="1" x14ac:dyDescent="0.35">
      <c r="C39" s="529">
        <v>4</v>
      </c>
      <c r="D39" s="718"/>
      <c r="E39" s="767"/>
      <c r="F39" s="176"/>
      <c r="G39" s="176"/>
      <c r="H39" s="176"/>
      <c r="I39" s="718"/>
      <c r="J39" s="719"/>
      <c r="K39" s="719"/>
      <c r="L39" s="719"/>
      <c r="M39" s="719"/>
      <c r="N39" s="719"/>
      <c r="O39" s="720"/>
      <c r="R39" s="528"/>
      <c r="S39" s="528"/>
      <c r="T39" s="528"/>
      <c r="U39" s="528"/>
      <c r="V39" s="528"/>
      <c r="W39" s="528"/>
      <c r="X39" s="528"/>
      <c r="Y39" s="528"/>
      <c r="Z39" s="528"/>
      <c r="AA39" s="528"/>
      <c r="AB39" s="528"/>
      <c r="AC39" s="528"/>
      <c r="AD39" s="528"/>
      <c r="AE39" s="528"/>
      <c r="AF39" s="528"/>
      <c r="AG39" s="528"/>
      <c r="AH39" s="528"/>
      <c r="AI39" s="528"/>
      <c r="AJ39" s="528"/>
      <c r="AK39" s="528"/>
    </row>
    <row r="40" spans="2:37" s="527" customFormat="1" ht="20.5" customHeight="1" x14ac:dyDescent="0.35">
      <c r="C40" s="529">
        <v>5</v>
      </c>
      <c r="D40" s="718"/>
      <c r="E40" s="767"/>
      <c r="F40" s="176"/>
      <c r="G40" s="176"/>
      <c r="H40" s="176"/>
      <c r="I40" s="718"/>
      <c r="J40" s="719"/>
      <c r="K40" s="719"/>
      <c r="L40" s="719"/>
      <c r="M40" s="719"/>
      <c r="N40" s="719"/>
      <c r="O40" s="720"/>
      <c r="R40" s="528"/>
      <c r="S40" s="528"/>
      <c r="T40" s="528"/>
      <c r="U40" s="528"/>
      <c r="V40" s="528"/>
      <c r="W40" s="528"/>
      <c r="X40" s="528"/>
      <c r="Y40" s="528"/>
      <c r="Z40" s="528"/>
      <c r="AA40" s="528"/>
      <c r="AB40" s="528"/>
      <c r="AC40" s="528"/>
      <c r="AD40" s="528"/>
      <c r="AE40" s="528"/>
      <c r="AF40" s="528"/>
      <c r="AG40" s="528"/>
      <c r="AH40" s="528"/>
      <c r="AI40" s="528"/>
      <c r="AJ40" s="528"/>
      <c r="AK40" s="528"/>
    </row>
    <row r="41" spans="2:37" s="527" customFormat="1" ht="20.5" customHeight="1" x14ac:dyDescent="0.35">
      <c r="C41" s="529">
        <v>6</v>
      </c>
      <c r="D41" s="718"/>
      <c r="E41" s="767"/>
      <c r="F41" s="176"/>
      <c r="G41" s="176"/>
      <c r="H41" s="176"/>
      <c r="I41" s="718"/>
      <c r="J41" s="719"/>
      <c r="K41" s="719"/>
      <c r="L41" s="719"/>
      <c r="M41" s="719"/>
      <c r="N41" s="719"/>
      <c r="O41" s="720"/>
      <c r="R41" s="528"/>
      <c r="S41" s="528"/>
      <c r="T41" s="528"/>
      <c r="U41" s="528"/>
      <c r="V41" s="528"/>
      <c r="W41" s="528"/>
      <c r="X41" s="528"/>
      <c r="Y41" s="528"/>
      <c r="Z41" s="528"/>
      <c r="AA41" s="528"/>
      <c r="AB41" s="528"/>
      <c r="AC41" s="528"/>
      <c r="AD41" s="528"/>
      <c r="AE41" s="528"/>
      <c r="AF41" s="528"/>
      <c r="AG41" s="528"/>
      <c r="AH41" s="528"/>
      <c r="AI41" s="528"/>
      <c r="AJ41" s="528"/>
      <c r="AK41" s="528"/>
    </row>
    <row r="42" spans="2:37" s="527" customFormat="1" ht="20.5" customHeight="1" x14ac:dyDescent="0.35">
      <c r="C42" s="529">
        <v>7</v>
      </c>
      <c r="D42" s="718"/>
      <c r="E42" s="767"/>
      <c r="F42" s="176"/>
      <c r="G42" s="176"/>
      <c r="H42" s="176"/>
      <c r="I42" s="718"/>
      <c r="J42" s="719"/>
      <c r="K42" s="719"/>
      <c r="L42" s="719"/>
      <c r="M42" s="719"/>
      <c r="N42" s="719"/>
      <c r="O42" s="720"/>
      <c r="R42" s="528"/>
      <c r="S42" s="528"/>
      <c r="T42" s="528"/>
      <c r="U42" s="528"/>
      <c r="V42" s="528"/>
      <c r="W42" s="528"/>
      <c r="X42" s="528"/>
      <c r="Y42" s="528"/>
      <c r="Z42" s="528"/>
      <c r="AA42" s="528"/>
      <c r="AB42" s="528"/>
      <c r="AC42" s="528"/>
      <c r="AD42" s="528"/>
      <c r="AE42" s="528"/>
      <c r="AF42" s="528"/>
      <c r="AG42" s="528"/>
      <c r="AH42" s="528"/>
      <c r="AI42" s="528"/>
      <c r="AJ42" s="528"/>
      <c r="AK42" s="528"/>
    </row>
    <row r="43" spans="2:37" s="527" customFormat="1" ht="20.5" customHeight="1" x14ac:dyDescent="0.35">
      <c r="C43" s="529">
        <v>8</v>
      </c>
      <c r="D43" s="718"/>
      <c r="E43" s="767"/>
      <c r="F43" s="176"/>
      <c r="G43" s="176"/>
      <c r="H43" s="176"/>
      <c r="I43" s="718"/>
      <c r="J43" s="719"/>
      <c r="K43" s="719"/>
      <c r="L43" s="719"/>
      <c r="M43" s="719"/>
      <c r="N43" s="719"/>
      <c r="O43" s="720"/>
      <c r="R43" s="528"/>
      <c r="S43" s="528"/>
      <c r="T43" s="528"/>
      <c r="U43" s="528"/>
      <c r="V43" s="528"/>
      <c r="W43" s="528"/>
      <c r="X43" s="528"/>
      <c r="Y43" s="528"/>
      <c r="Z43" s="528"/>
      <c r="AA43" s="528"/>
      <c r="AB43" s="528"/>
      <c r="AC43" s="528"/>
      <c r="AD43" s="528"/>
      <c r="AE43" s="528"/>
      <c r="AF43" s="528"/>
      <c r="AG43" s="528"/>
      <c r="AH43" s="528"/>
      <c r="AI43" s="528"/>
      <c r="AJ43" s="528"/>
      <c r="AK43" s="528"/>
    </row>
    <row r="44" spans="2:37" s="527" customFormat="1" ht="20.5" customHeight="1" x14ac:dyDescent="0.35">
      <c r="C44" s="529">
        <v>9</v>
      </c>
      <c r="D44" s="718"/>
      <c r="E44" s="767"/>
      <c r="F44" s="176"/>
      <c r="G44" s="176"/>
      <c r="H44" s="176"/>
      <c r="I44" s="718"/>
      <c r="J44" s="719"/>
      <c r="K44" s="719"/>
      <c r="L44" s="719"/>
      <c r="M44" s="719"/>
      <c r="N44" s="719"/>
      <c r="O44" s="720"/>
      <c r="R44" s="528"/>
      <c r="S44" s="528"/>
      <c r="T44" s="528"/>
      <c r="U44" s="528"/>
      <c r="V44" s="528"/>
      <c r="W44" s="528"/>
      <c r="X44" s="528"/>
      <c r="Y44" s="528"/>
      <c r="Z44" s="528"/>
      <c r="AA44" s="528"/>
      <c r="AB44" s="528"/>
      <c r="AC44" s="528"/>
      <c r="AD44" s="528"/>
      <c r="AE44" s="528"/>
      <c r="AF44" s="528"/>
      <c r="AG44" s="528"/>
      <c r="AH44" s="528"/>
      <c r="AI44" s="528"/>
      <c r="AJ44" s="528"/>
      <c r="AK44" s="528"/>
    </row>
    <row r="45" spans="2:37" s="527" customFormat="1" ht="20.5" customHeight="1" thickBot="1" x14ac:dyDescent="0.4">
      <c r="C45" s="532">
        <v>10</v>
      </c>
      <c r="D45" s="716"/>
      <c r="E45" s="717"/>
      <c r="F45" s="533"/>
      <c r="G45" s="533"/>
      <c r="H45" s="533"/>
      <c r="I45" s="716"/>
      <c r="J45" s="721"/>
      <c r="K45" s="721"/>
      <c r="L45" s="721"/>
      <c r="M45" s="721"/>
      <c r="N45" s="721"/>
      <c r="O45" s="722"/>
      <c r="R45" s="528"/>
      <c r="S45" s="528"/>
      <c r="T45" s="528"/>
      <c r="U45" s="528"/>
      <c r="V45" s="528"/>
      <c r="W45" s="528"/>
      <c r="X45" s="528"/>
      <c r="Y45" s="528"/>
      <c r="Z45" s="528"/>
      <c r="AA45" s="528"/>
      <c r="AB45" s="528"/>
      <c r="AC45" s="528"/>
      <c r="AD45" s="528"/>
      <c r="AE45" s="528"/>
      <c r="AF45" s="528"/>
      <c r="AG45" s="528"/>
      <c r="AH45" s="528"/>
      <c r="AI45" s="528"/>
      <c r="AJ45" s="528"/>
      <c r="AK45" s="528"/>
    </row>
    <row r="46" spans="2:37" s="3" customFormat="1" ht="15" customHeight="1" thickTop="1" x14ac:dyDescent="0.45">
      <c r="B46" s="346"/>
      <c r="C46" s="346"/>
      <c r="D46" s="346"/>
      <c r="E46" s="346"/>
      <c r="F46" s="346"/>
      <c r="G46" s="346"/>
      <c r="H46" s="346"/>
      <c r="I46" s="346"/>
      <c r="J46" s="346"/>
      <c r="K46" s="346"/>
      <c r="L46" s="346"/>
      <c r="M46" s="346"/>
      <c r="N46" s="346"/>
      <c r="O46" s="356"/>
      <c r="Q46" s="123"/>
      <c r="R46" s="123"/>
      <c r="S46" s="123"/>
      <c r="T46" s="123"/>
      <c r="U46" s="123"/>
      <c r="V46" s="123"/>
      <c r="W46" s="123"/>
      <c r="X46" s="123"/>
      <c r="Y46" s="123"/>
      <c r="Z46" s="123"/>
      <c r="AA46" s="123"/>
      <c r="AB46" s="123"/>
      <c r="AC46" s="123"/>
      <c r="AD46" s="123"/>
      <c r="AE46" s="123"/>
      <c r="AF46" s="123"/>
      <c r="AG46" s="123"/>
      <c r="AH46" s="123"/>
      <c r="AI46" s="123"/>
      <c r="AJ46" s="123"/>
    </row>
    <row r="47" spans="2:37" s="3" customFormat="1" ht="15" customHeight="1" x14ac:dyDescent="0.45">
      <c r="B47" s="346"/>
      <c r="C47" s="346"/>
      <c r="D47" s="346"/>
      <c r="E47" s="346"/>
      <c r="F47" s="346"/>
      <c r="G47" s="346"/>
      <c r="H47" s="346"/>
      <c r="I47" s="346"/>
      <c r="J47" s="346"/>
      <c r="K47" s="346"/>
      <c r="L47" s="346"/>
      <c r="M47" s="346"/>
      <c r="N47" s="346"/>
      <c r="O47" s="356"/>
      <c r="Q47" s="123"/>
      <c r="R47" s="123"/>
      <c r="S47" s="123"/>
      <c r="T47" s="123"/>
      <c r="U47" s="123"/>
      <c r="V47" s="123"/>
      <c r="W47" s="123"/>
      <c r="X47" s="123"/>
      <c r="Y47" s="123"/>
      <c r="Z47" s="123"/>
      <c r="AA47" s="123"/>
      <c r="AB47" s="123"/>
      <c r="AC47" s="123"/>
      <c r="AD47" s="123"/>
      <c r="AE47" s="123"/>
      <c r="AF47" s="123"/>
      <c r="AG47" s="123"/>
      <c r="AH47" s="123"/>
      <c r="AI47" s="123"/>
      <c r="AJ47" s="123"/>
    </row>
    <row r="48" spans="2:37" s="3" customFormat="1" ht="15" customHeight="1" x14ac:dyDescent="0.45">
      <c r="B48" s="346"/>
      <c r="C48" s="346"/>
      <c r="D48" s="346"/>
      <c r="E48" s="346"/>
      <c r="F48" s="346"/>
      <c r="G48" s="346"/>
      <c r="H48" s="346"/>
      <c r="I48" s="346"/>
      <c r="J48" s="346"/>
      <c r="K48" s="346"/>
      <c r="L48" s="346"/>
      <c r="M48" s="346"/>
      <c r="N48" s="346"/>
      <c r="O48" s="356"/>
      <c r="Q48" s="123"/>
      <c r="R48" s="123"/>
      <c r="S48" s="123"/>
      <c r="T48" s="123"/>
      <c r="U48" s="123"/>
      <c r="V48" s="123"/>
      <c r="W48" s="123"/>
      <c r="X48" s="123"/>
      <c r="Y48" s="123"/>
      <c r="Z48" s="123"/>
      <c r="AA48" s="123"/>
      <c r="AB48" s="123"/>
      <c r="AC48" s="123"/>
      <c r="AD48" s="123"/>
      <c r="AE48" s="123"/>
      <c r="AF48" s="123"/>
      <c r="AG48" s="123"/>
      <c r="AH48" s="123"/>
      <c r="AI48" s="123"/>
      <c r="AJ48" s="123"/>
    </row>
    <row r="49" spans="2:36" s="3" customFormat="1" ht="15" customHeight="1" x14ac:dyDescent="0.45">
      <c r="B49" s="346"/>
      <c r="C49" s="346"/>
      <c r="D49" s="346"/>
      <c r="E49" s="346"/>
      <c r="F49" s="346"/>
      <c r="G49" s="346"/>
      <c r="H49" s="346"/>
      <c r="I49" s="346"/>
      <c r="J49" s="346"/>
      <c r="K49" s="346"/>
      <c r="L49" s="346"/>
      <c r="M49" s="346"/>
      <c r="N49" s="346"/>
      <c r="O49" s="356"/>
      <c r="Q49" s="123"/>
      <c r="R49" s="123"/>
      <c r="S49" s="123"/>
      <c r="T49" s="123"/>
      <c r="U49" s="123"/>
      <c r="V49" s="123"/>
      <c r="W49" s="123"/>
      <c r="X49" s="123"/>
      <c r="Y49" s="123"/>
      <c r="Z49" s="123"/>
      <c r="AA49" s="123"/>
      <c r="AB49" s="123"/>
      <c r="AC49" s="123"/>
      <c r="AD49" s="123"/>
      <c r="AE49" s="123"/>
      <c r="AF49" s="123"/>
      <c r="AG49" s="123"/>
      <c r="AH49" s="123"/>
      <c r="AI49" s="123"/>
      <c r="AJ49" s="123"/>
    </row>
    <row r="50" spans="2:36" s="3" customFormat="1" ht="15" customHeight="1" x14ac:dyDescent="0.45">
      <c r="B50" s="346"/>
      <c r="C50" s="346"/>
      <c r="D50" s="346"/>
      <c r="E50" s="346"/>
      <c r="F50" s="346"/>
      <c r="G50" s="346"/>
      <c r="H50" s="346"/>
      <c r="I50" s="346"/>
      <c r="J50" s="346"/>
      <c r="K50" s="346"/>
      <c r="L50" s="346"/>
      <c r="M50" s="346"/>
      <c r="N50" s="346"/>
      <c r="O50" s="356"/>
      <c r="Q50" s="123"/>
      <c r="R50" s="123"/>
      <c r="S50" s="123"/>
      <c r="T50" s="123"/>
      <c r="U50" s="123"/>
      <c r="V50" s="123"/>
      <c r="W50" s="123"/>
      <c r="X50" s="123"/>
      <c r="Y50" s="123"/>
      <c r="Z50" s="123"/>
      <c r="AA50" s="123"/>
      <c r="AB50" s="123"/>
      <c r="AC50" s="123"/>
      <c r="AD50" s="123"/>
      <c r="AE50" s="123"/>
      <c r="AF50" s="123"/>
      <c r="AG50" s="123"/>
      <c r="AH50" s="123"/>
      <c r="AI50" s="123"/>
      <c r="AJ50" s="123"/>
    </row>
    <row r="51" spans="2:36" s="3" customFormat="1" ht="15" customHeight="1" x14ac:dyDescent="0.45">
      <c r="B51" s="346"/>
      <c r="C51" s="346"/>
      <c r="D51" s="346"/>
      <c r="E51" s="346"/>
      <c r="F51" s="346"/>
      <c r="G51" s="346"/>
      <c r="H51" s="346"/>
      <c r="I51" s="346"/>
      <c r="J51" s="346"/>
      <c r="K51" s="346"/>
      <c r="L51" s="346"/>
      <c r="M51" s="346"/>
      <c r="N51" s="346"/>
      <c r="O51" s="356"/>
      <c r="Q51" s="123"/>
      <c r="R51" s="123"/>
      <c r="S51" s="123"/>
      <c r="T51" s="123"/>
      <c r="U51" s="123"/>
      <c r="V51" s="123"/>
      <c r="W51" s="123"/>
      <c r="X51" s="123"/>
      <c r="Y51" s="123"/>
      <c r="Z51" s="123"/>
      <c r="AA51" s="123"/>
      <c r="AB51" s="123"/>
      <c r="AC51" s="123"/>
      <c r="AD51" s="123"/>
      <c r="AE51" s="123"/>
      <c r="AF51" s="123"/>
      <c r="AG51" s="123"/>
      <c r="AH51" s="123"/>
      <c r="AI51" s="123"/>
      <c r="AJ51" s="123"/>
    </row>
    <row r="52" spans="2:36" s="3" customFormat="1" ht="15" customHeight="1" x14ac:dyDescent="0.45">
      <c r="B52" s="346"/>
      <c r="C52" s="346"/>
      <c r="D52" s="346"/>
      <c r="E52" s="346"/>
      <c r="F52" s="346"/>
      <c r="G52" s="346"/>
      <c r="H52" s="346"/>
      <c r="I52" s="346"/>
      <c r="J52" s="346"/>
      <c r="K52" s="346"/>
      <c r="L52" s="346"/>
      <c r="M52" s="346"/>
      <c r="N52" s="346"/>
      <c r="O52" s="356"/>
      <c r="Q52" s="123"/>
      <c r="R52" s="123"/>
      <c r="S52" s="123"/>
      <c r="T52" s="123"/>
      <c r="U52" s="123"/>
      <c r="V52" s="123"/>
      <c r="W52" s="123"/>
      <c r="X52" s="123"/>
      <c r="Y52" s="123"/>
      <c r="Z52" s="123"/>
      <c r="AA52" s="123"/>
      <c r="AB52" s="123"/>
      <c r="AC52" s="123"/>
      <c r="AD52" s="123"/>
      <c r="AE52" s="123"/>
      <c r="AF52" s="123"/>
      <c r="AG52" s="123"/>
      <c r="AH52" s="123"/>
      <c r="AI52" s="123"/>
      <c r="AJ52" s="123"/>
    </row>
    <row r="53" spans="2:36" s="3" customFormat="1" ht="15" customHeight="1" x14ac:dyDescent="0.45">
      <c r="B53" s="346"/>
      <c r="C53" s="346"/>
      <c r="D53" s="346"/>
      <c r="E53" s="346"/>
      <c r="F53" s="346"/>
      <c r="G53" s="346"/>
      <c r="H53" s="346"/>
      <c r="I53" s="346"/>
      <c r="J53" s="346"/>
      <c r="K53" s="346"/>
      <c r="L53" s="346"/>
      <c r="M53" s="346"/>
      <c r="N53" s="346"/>
      <c r="O53" s="356"/>
      <c r="Q53" s="123"/>
      <c r="R53" s="123"/>
      <c r="S53" s="123"/>
      <c r="T53" s="123"/>
      <c r="U53" s="123"/>
      <c r="V53" s="123"/>
      <c r="W53" s="123"/>
      <c r="X53" s="123"/>
      <c r="Y53" s="123"/>
      <c r="Z53" s="123"/>
      <c r="AA53" s="123"/>
      <c r="AB53" s="123"/>
      <c r="AC53" s="123"/>
      <c r="AD53" s="123"/>
      <c r="AE53" s="123"/>
      <c r="AF53" s="123"/>
      <c r="AG53" s="123"/>
      <c r="AH53" s="123"/>
      <c r="AI53" s="123"/>
      <c r="AJ53" s="123"/>
    </row>
    <row r="54" spans="2:36" s="3" customFormat="1" ht="15" customHeight="1" x14ac:dyDescent="0.45">
      <c r="B54" s="346"/>
      <c r="C54" s="346"/>
      <c r="D54" s="346"/>
      <c r="E54" s="346"/>
      <c r="F54" s="346"/>
      <c r="G54" s="346"/>
      <c r="H54" s="346"/>
      <c r="I54" s="346"/>
      <c r="J54" s="346"/>
      <c r="K54" s="346"/>
      <c r="L54" s="346"/>
      <c r="M54" s="346"/>
      <c r="N54" s="346"/>
      <c r="O54" s="356"/>
      <c r="Q54" s="123"/>
      <c r="R54" s="123"/>
      <c r="S54" s="123"/>
      <c r="T54" s="123"/>
      <c r="U54" s="123"/>
      <c r="V54" s="123"/>
      <c r="W54" s="123"/>
      <c r="X54" s="123"/>
      <c r="Y54" s="123"/>
      <c r="Z54" s="123"/>
      <c r="AA54" s="123"/>
      <c r="AB54" s="123"/>
      <c r="AC54" s="123"/>
      <c r="AD54" s="123"/>
      <c r="AE54" s="123"/>
      <c r="AF54" s="123"/>
      <c r="AG54" s="123"/>
      <c r="AH54" s="123"/>
      <c r="AI54" s="123"/>
      <c r="AJ54" s="123"/>
    </row>
    <row r="55" spans="2:36" s="3" customFormat="1" ht="15" customHeight="1" x14ac:dyDescent="0.45">
      <c r="B55" s="346"/>
      <c r="C55" s="346"/>
      <c r="D55" s="346"/>
      <c r="E55" s="346"/>
      <c r="F55" s="346"/>
      <c r="G55" s="346"/>
      <c r="H55" s="346"/>
      <c r="I55" s="346"/>
      <c r="J55" s="346"/>
      <c r="K55" s="346"/>
      <c r="L55" s="346"/>
      <c r="M55" s="346"/>
      <c r="N55" s="346"/>
      <c r="O55" s="356"/>
      <c r="Q55" s="123"/>
      <c r="R55" s="123"/>
      <c r="S55" s="123"/>
      <c r="T55" s="123"/>
      <c r="U55" s="123"/>
      <c r="V55" s="123"/>
      <c r="W55" s="123"/>
      <c r="X55" s="123"/>
      <c r="Y55" s="123"/>
      <c r="Z55" s="123"/>
      <c r="AA55" s="123"/>
      <c r="AB55" s="123"/>
      <c r="AC55" s="123"/>
      <c r="AD55" s="123"/>
      <c r="AE55" s="123"/>
      <c r="AF55" s="123"/>
      <c r="AG55" s="123"/>
      <c r="AH55" s="123"/>
      <c r="AI55" s="123"/>
      <c r="AJ55" s="123"/>
    </row>
    <row r="56" spans="2:36" s="3" customFormat="1" ht="15" customHeight="1" x14ac:dyDescent="0.45">
      <c r="B56" s="346"/>
      <c r="C56" s="346"/>
      <c r="D56" s="346"/>
      <c r="E56" s="346"/>
      <c r="F56" s="346"/>
      <c r="G56" s="346"/>
      <c r="H56" s="346"/>
      <c r="I56" s="346"/>
      <c r="J56" s="346"/>
      <c r="K56" s="346"/>
      <c r="L56" s="346"/>
      <c r="M56" s="346"/>
      <c r="N56" s="346"/>
      <c r="O56" s="356"/>
      <c r="Q56" s="123"/>
      <c r="R56" s="123"/>
      <c r="S56" s="123"/>
      <c r="T56" s="123"/>
      <c r="U56" s="123"/>
      <c r="V56" s="123"/>
      <c r="W56" s="123"/>
      <c r="X56" s="123"/>
      <c r="Y56" s="123"/>
      <c r="Z56" s="123"/>
      <c r="AA56" s="123"/>
      <c r="AB56" s="123"/>
      <c r="AC56" s="123"/>
      <c r="AD56" s="123"/>
      <c r="AE56" s="123"/>
      <c r="AF56" s="123"/>
      <c r="AG56" s="123"/>
      <c r="AH56" s="123"/>
      <c r="AI56" s="123"/>
      <c r="AJ56" s="123"/>
    </row>
    <row r="57" spans="2:36" s="3" customFormat="1" ht="15" customHeight="1" x14ac:dyDescent="0.45">
      <c r="B57" s="346"/>
      <c r="C57" s="346"/>
      <c r="D57" s="346"/>
      <c r="E57" s="346"/>
      <c r="F57" s="346"/>
      <c r="G57" s="346"/>
      <c r="H57" s="346"/>
      <c r="I57" s="346"/>
      <c r="J57" s="346"/>
      <c r="K57" s="346"/>
      <c r="L57" s="346"/>
      <c r="M57" s="346"/>
      <c r="N57" s="346"/>
      <c r="O57" s="356"/>
      <c r="Q57" s="123"/>
      <c r="R57" s="123"/>
      <c r="S57" s="123"/>
      <c r="T57" s="123"/>
      <c r="U57" s="123"/>
      <c r="V57" s="123"/>
      <c r="W57" s="123"/>
      <c r="X57" s="123"/>
      <c r="Y57" s="123"/>
      <c r="Z57" s="123"/>
      <c r="AA57" s="123"/>
      <c r="AB57" s="123"/>
      <c r="AC57" s="123"/>
      <c r="AD57" s="123"/>
      <c r="AE57" s="123"/>
      <c r="AF57" s="123"/>
      <c r="AG57" s="123"/>
      <c r="AH57" s="123"/>
      <c r="AI57" s="123"/>
      <c r="AJ57" s="123"/>
    </row>
    <row r="58" spans="2:36" s="3" customFormat="1" ht="15" customHeight="1" x14ac:dyDescent="0.45">
      <c r="B58" s="346"/>
      <c r="C58" s="346"/>
      <c r="D58" s="346"/>
      <c r="E58" s="346"/>
      <c r="F58" s="346"/>
      <c r="G58" s="346"/>
      <c r="H58" s="346"/>
      <c r="I58" s="346"/>
      <c r="J58" s="346"/>
      <c r="K58" s="346"/>
      <c r="L58" s="346"/>
      <c r="M58" s="346"/>
      <c r="N58" s="346"/>
      <c r="O58" s="356"/>
      <c r="Q58" s="123"/>
      <c r="R58" s="123"/>
      <c r="S58" s="123"/>
      <c r="T58" s="123"/>
      <c r="U58" s="123"/>
      <c r="V58" s="123"/>
      <c r="W58" s="123"/>
      <c r="X58" s="123"/>
      <c r="Y58" s="123"/>
      <c r="Z58" s="123"/>
      <c r="AA58" s="123"/>
      <c r="AB58" s="123"/>
      <c r="AC58" s="123"/>
      <c r="AD58" s="123"/>
      <c r="AE58" s="123"/>
      <c r="AF58" s="123"/>
      <c r="AG58" s="123"/>
      <c r="AH58" s="123"/>
      <c r="AI58" s="123"/>
      <c r="AJ58" s="123"/>
    </row>
    <row r="59" spans="2:36" s="3" customFormat="1" ht="15" customHeight="1" x14ac:dyDescent="0.45">
      <c r="B59" s="346"/>
      <c r="C59" s="346"/>
      <c r="D59" s="346"/>
      <c r="E59" s="346"/>
      <c r="F59" s="346"/>
      <c r="G59" s="346"/>
      <c r="H59" s="346"/>
      <c r="I59" s="346"/>
      <c r="J59" s="346"/>
      <c r="K59" s="346"/>
      <c r="L59" s="346"/>
      <c r="M59" s="346"/>
      <c r="N59" s="346"/>
      <c r="O59" s="356"/>
      <c r="Q59" s="123"/>
      <c r="R59" s="123"/>
      <c r="S59" s="123"/>
      <c r="T59" s="123"/>
      <c r="U59" s="123"/>
      <c r="V59" s="123"/>
      <c r="W59" s="123"/>
      <c r="X59" s="123"/>
      <c r="Y59" s="123"/>
      <c r="Z59" s="123"/>
      <c r="AA59" s="123"/>
      <c r="AB59" s="123"/>
      <c r="AC59" s="123"/>
      <c r="AD59" s="123"/>
      <c r="AE59" s="123"/>
      <c r="AF59" s="123"/>
      <c r="AG59" s="123"/>
      <c r="AH59" s="123"/>
      <c r="AI59" s="123"/>
      <c r="AJ59" s="123"/>
    </row>
    <row r="60" spans="2:36" s="3" customFormat="1" ht="15" customHeight="1" x14ac:dyDescent="0.45">
      <c r="B60" s="346"/>
      <c r="C60" s="346"/>
      <c r="D60" s="346"/>
      <c r="E60" s="346"/>
      <c r="F60" s="346"/>
      <c r="G60" s="346"/>
      <c r="H60" s="346"/>
      <c r="I60" s="346"/>
      <c r="J60" s="346"/>
      <c r="K60" s="346"/>
      <c r="L60" s="346"/>
      <c r="M60" s="346"/>
      <c r="N60" s="346"/>
      <c r="O60" s="356"/>
      <c r="Q60" s="123"/>
      <c r="R60" s="123"/>
      <c r="S60" s="123"/>
      <c r="T60" s="123"/>
      <c r="U60" s="123"/>
      <c r="V60" s="123"/>
      <c r="W60" s="123"/>
      <c r="X60" s="123"/>
      <c r="Y60" s="123"/>
      <c r="Z60" s="123"/>
      <c r="AA60" s="123"/>
      <c r="AB60" s="123"/>
      <c r="AC60" s="123"/>
      <c r="AD60" s="123"/>
      <c r="AE60" s="123"/>
      <c r="AF60" s="123"/>
      <c r="AG60" s="123"/>
      <c r="AH60" s="123"/>
      <c r="AI60" s="123"/>
      <c r="AJ60" s="123"/>
    </row>
    <row r="61" spans="2:36" s="3" customFormat="1" ht="15" customHeight="1" x14ac:dyDescent="0.45">
      <c r="B61" s="346"/>
      <c r="C61" s="346"/>
      <c r="D61" s="346"/>
      <c r="E61" s="346"/>
      <c r="F61" s="346"/>
      <c r="G61" s="346"/>
      <c r="H61" s="346"/>
      <c r="I61" s="346"/>
      <c r="J61" s="346"/>
      <c r="K61" s="346"/>
      <c r="L61" s="346"/>
      <c r="M61" s="346"/>
      <c r="N61" s="346"/>
      <c r="O61" s="356"/>
      <c r="Q61" s="123"/>
      <c r="R61" s="123"/>
      <c r="S61" s="123"/>
      <c r="T61" s="123"/>
      <c r="U61" s="123"/>
      <c r="V61" s="123"/>
      <c r="W61" s="123"/>
      <c r="X61" s="123"/>
      <c r="Y61" s="123"/>
      <c r="Z61" s="123"/>
      <c r="AA61" s="123"/>
      <c r="AB61" s="123"/>
      <c r="AC61" s="123"/>
      <c r="AD61" s="123"/>
      <c r="AE61" s="123"/>
      <c r="AF61" s="123"/>
      <c r="AG61" s="123"/>
      <c r="AH61" s="123"/>
      <c r="AI61" s="123"/>
      <c r="AJ61" s="123"/>
    </row>
    <row r="62" spans="2:36" s="3" customFormat="1" ht="15" customHeight="1" x14ac:dyDescent="0.45">
      <c r="B62" s="346"/>
      <c r="C62" s="346"/>
      <c r="D62" s="346"/>
      <c r="E62" s="346"/>
      <c r="F62" s="346"/>
      <c r="G62" s="346"/>
      <c r="H62" s="346"/>
      <c r="I62" s="346"/>
      <c r="J62" s="346"/>
      <c r="K62" s="346"/>
      <c r="L62" s="346"/>
      <c r="M62" s="346"/>
      <c r="N62" s="346"/>
      <c r="O62" s="356"/>
      <c r="Q62" s="123"/>
      <c r="R62" s="123"/>
      <c r="S62" s="123"/>
      <c r="T62" s="123"/>
      <c r="U62" s="123"/>
      <c r="V62" s="123"/>
      <c r="W62" s="123"/>
      <c r="X62" s="123"/>
      <c r="Y62" s="123"/>
      <c r="Z62" s="123"/>
      <c r="AA62" s="123"/>
      <c r="AB62" s="123"/>
      <c r="AC62" s="123"/>
      <c r="AD62" s="123"/>
      <c r="AE62" s="123"/>
      <c r="AF62" s="123"/>
      <c r="AG62" s="123"/>
      <c r="AH62" s="123"/>
      <c r="AI62" s="123"/>
      <c r="AJ62" s="123"/>
    </row>
    <row r="63" spans="2:36" s="3" customFormat="1" ht="15" customHeight="1" x14ac:dyDescent="0.45">
      <c r="B63" s="346"/>
      <c r="C63" s="346"/>
      <c r="D63" s="346"/>
      <c r="E63" s="346"/>
      <c r="F63" s="346"/>
      <c r="G63" s="346"/>
      <c r="H63" s="346"/>
      <c r="I63" s="346"/>
      <c r="J63" s="346"/>
      <c r="K63" s="346"/>
      <c r="L63" s="346"/>
      <c r="M63" s="346"/>
      <c r="N63" s="346"/>
      <c r="O63" s="356"/>
      <c r="Q63" s="123"/>
      <c r="R63" s="123"/>
      <c r="S63" s="123"/>
      <c r="T63" s="123"/>
      <c r="U63" s="123"/>
      <c r="V63" s="123"/>
      <c r="W63" s="123"/>
      <c r="X63" s="123"/>
      <c r="Y63" s="123"/>
      <c r="Z63" s="123"/>
      <c r="AA63" s="123"/>
      <c r="AB63" s="123"/>
      <c r="AC63" s="123"/>
      <c r="AD63" s="123"/>
      <c r="AE63" s="123"/>
      <c r="AF63" s="123"/>
      <c r="AG63" s="123"/>
      <c r="AH63" s="123"/>
      <c r="AI63" s="123"/>
      <c r="AJ63" s="123"/>
    </row>
    <row r="64" spans="2:36" s="3" customFormat="1" ht="15" customHeight="1" x14ac:dyDescent="0.45">
      <c r="B64" s="346"/>
      <c r="C64" s="346"/>
      <c r="D64" s="346"/>
      <c r="E64" s="346"/>
      <c r="F64" s="346"/>
      <c r="G64" s="346"/>
      <c r="H64" s="346"/>
      <c r="I64" s="346"/>
      <c r="J64" s="346"/>
      <c r="K64" s="346"/>
      <c r="L64" s="346"/>
      <c r="M64" s="346"/>
      <c r="N64" s="346"/>
      <c r="O64" s="356"/>
      <c r="Q64" s="123"/>
      <c r="R64" s="123"/>
      <c r="S64" s="123"/>
      <c r="T64" s="123"/>
      <c r="U64" s="123"/>
      <c r="V64" s="123"/>
      <c r="W64" s="123"/>
      <c r="X64" s="123"/>
      <c r="Y64" s="123"/>
      <c r="Z64" s="123"/>
      <c r="AA64" s="123"/>
      <c r="AB64" s="123"/>
      <c r="AC64" s="123"/>
      <c r="AD64" s="123"/>
      <c r="AE64" s="123"/>
      <c r="AF64" s="123"/>
      <c r="AG64" s="123"/>
      <c r="AH64" s="123"/>
      <c r="AI64" s="123"/>
      <c r="AJ64" s="123"/>
    </row>
    <row r="65" spans="2:36" s="3" customFormat="1" ht="15" customHeight="1" x14ac:dyDescent="0.45">
      <c r="B65" s="346"/>
      <c r="C65" s="346"/>
      <c r="D65" s="346"/>
      <c r="E65" s="346"/>
      <c r="F65" s="346"/>
      <c r="G65" s="346"/>
      <c r="H65" s="346"/>
      <c r="I65" s="346"/>
      <c r="J65" s="346"/>
      <c r="K65" s="346"/>
      <c r="L65" s="346"/>
      <c r="M65" s="346"/>
      <c r="N65" s="346"/>
      <c r="O65" s="356"/>
      <c r="Q65" s="123"/>
      <c r="R65" s="123"/>
      <c r="S65" s="123"/>
      <c r="T65" s="123"/>
      <c r="U65" s="123"/>
      <c r="V65" s="123"/>
      <c r="W65" s="123"/>
      <c r="X65" s="123"/>
      <c r="Y65" s="123"/>
      <c r="Z65" s="123"/>
      <c r="AA65" s="123"/>
      <c r="AB65" s="123"/>
      <c r="AC65" s="123"/>
      <c r="AD65" s="123"/>
      <c r="AE65" s="123"/>
      <c r="AF65" s="123"/>
      <c r="AG65" s="123"/>
      <c r="AH65" s="123"/>
      <c r="AI65" s="123"/>
      <c r="AJ65" s="123"/>
    </row>
    <row r="66" spans="2:36" s="3" customFormat="1" ht="15" customHeight="1" x14ac:dyDescent="0.45">
      <c r="B66" s="346"/>
      <c r="C66" s="346"/>
      <c r="D66" s="346"/>
      <c r="E66" s="346"/>
      <c r="F66" s="346"/>
      <c r="G66" s="346"/>
      <c r="H66" s="346"/>
      <c r="I66" s="346"/>
      <c r="J66" s="346"/>
      <c r="K66" s="346"/>
      <c r="L66" s="346"/>
      <c r="M66" s="346"/>
      <c r="N66" s="346"/>
      <c r="O66" s="356"/>
      <c r="Q66" s="123"/>
      <c r="R66" s="123"/>
      <c r="S66" s="123"/>
      <c r="T66" s="123"/>
      <c r="U66" s="123"/>
      <c r="V66" s="123"/>
      <c r="W66" s="123"/>
      <c r="X66" s="123"/>
      <c r="Y66" s="123"/>
      <c r="Z66" s="123"/>
      <c r="AA66" s="123"/>
      <c r="AB66" s="123"/>
      <c r="AC66" s="123"/>
      <c r="AD66" s="123"/>
      <c r="AE66" s="123"/>
      <c r="AF66" s="123"/>
      <c r="AG66" s="123"/>
      <c r="AH66" s="123"/>
      <c r="AI66" s="123"/>
      <c r="AJ66" s="123"/>
    </row>
    <row r="67" spans="2:36" s="3" customFormat="1" ht="15" customHeight="1" x14ac:dyDescent="0.45">
      <c r="B67" s="346"/>
      <c r="C67" s="346"/>
      <c r="D67" s="346"/>
      <c r="E67" s="346"/>
      <c r="F67" s="346"/>
      <c r="G67" s="346"/>
      <c r="H67" s="346"/>
      <c r="I67" s="346"/>
      <c r="J67" s="346"/>
      <c r="K67" s="346"/>
      <c r="L67" s="346"/>
      <c r="M67" s="346"/>
      <c r="N67" s="346"/>
      <c r="O67" s="356"/>
      <c r="Q67" s="123"/>
      <c r="R67" s="123"/>
      <c r="S67" s="123"/>
      <c r="T67" s="123"/>
      <c r="U67" s="123"/>
      <c r="V67" s="123"/>
      <c r="W67" s="123"/>
      <c r="X67" s="123"/>
      <c r="Y67" s="123"/>
      <c r="Z67" s="123"/>
      <c r="AA67" s="123"/>
      <c r="AB67" s="123"/>
      <c r="AC67" s="123"/>
      <c r="AD67" s="123"/>
      <c r="AE67" s="123"/>
      <c r="AF67" s="123"/>
      <c r="AG67" s="123"/>
      <c r="AH67" s="123"/>
      <c r="AI67" s="123"/>
      <c r="AJ67" s="123"/>
    </row>
    <row r="68" spans="2:36" s="3" customFormat="1" ht="15" customHeight="1" x14ac:dyDescent="0.45">
      <c r="B68" s="346"/>
      <c r="C68" s="346"/>
      <c r="D68" s="346"/>
      <c r="E68" s="346"/>
      <c r="F68" s="346"/>
      <c r="G68" s="346"/>
      <c r="H68" s="346"/>
      <c r="I68" s="346"/>
      <c r="J68" s="346"/>
      <c r="K68" s="346"/>
      <c r="L68" s="346"/>
      <c r="M68" s="346"/>
      <c r="N68" s="346"/>
      <c r="O68" s="356"/>
      <c r="Q68" s="123"/>
      <c r="R68" s="123"/>
      <c r="S68" s="123"/>
      <c r="T68" s="123"/>
      <c r="U68" s="123"/>
      <c r="V68" s="123"/>
      <c r="W68" s="123"/>
      <c r="X68" s="123"/>
      <c r="Y68" s="123"/>
      <c r="Z68" s="123"/>
      <c r="AA68" s="123"/>
      <c r="AB68" s="123"/>
      <c r="AC68" s="123"/>
      <c r="AD68" s="123"/>
      <c r="AE68" s="123"/>
      <c r="AF68" s="123"/>
      <c r="AG68" s="123"/>
      <c r="AH68" s="123"/>
      <c r="AI68" s="123"/>
      <c r="AJ68" s="123"/>
    </row>
    <row r="69" spans="2:36" s="3" customFormat="1" ht="15" customHeight="1" x14ac:dyDescent="0.45">
      <c r="B69" s="346"/>
      <c r="C69" s="346"/>
      <c r="D69" s="346"/>
      <c r="E69" s="346"/>
      <c r="F69" s="346"/>
      <c r="G69" s="346"/>
      <c r="H69" s="346"/>
      <c r="I69" s="346"/>
      <c r="J69" s="346"/>
      <c r="K69" s="346"/>
      <c r="L69" s="346"/>
      <c r="M69" s="346"/>
      <c r="N69" s="346"/>
      <c r="O69" s="356"/>
      <c r="Q69" s="123"/>
      <c r="R69" s="123"/>
      <c r="S69" s="123"/>
      <c r="T69" s="123"/>
      <c r="U69" s="123"/>
      <c r="V69" s="123"/>
      <c r="W69" s="123"/>
      <c r="X69" s="123"/>
      <c r="Y69" s="123"/>
      <c r="Z69" s="123"/>
      <c r="AA69" s="123"/>
      <c r="AB69" s="123"/>
      <c r="AC69" s="123"/>
      <c r="AD69" s="123"/>
      <c r="AE69" s="123"/>
      <c r="AF69" s="123"/>
      <c r="AG69" s="123"/>
      <c r="AH69" s="123"/>
      <c r="AI69" s="123"/>
      <c r="AJ69" s="123"/>
    </row>
    <row r="70" spans="2:36" s="3" customFormat="1" ht="15" customHeight="1" x14ac:dyDescent="0.45">
      <c r="B70" s="346"/>
      <c r="C70" s="346"/>
      <c r="D70" s="346"/>
      <c r="E70" s="346"/>
      <c r="F70" s="346"/>
      <c r="G70" s="346"/>
      <c r="H70" s="346"/>
      <c r="I70" s="346"/>
      <c r="J70" s="346"/>
      <c r="K70" s="346"/>
      <c r="L70" s="346"/>
      <c r="M70" s="346"/>
      <c r="N70" s="346"/>
      <c r="O70" s="356"/>
      <c r="Q70" s="123"/>
      <c r="R70" s="123"/>
      <c r="S70" s="123"/>
      <c r="T70" s="123"/>
      <c r="U70" s="123"/>
      <c r="V70" s="123"/>
      <c r="W70" s="123"/>
      <c r="X70" s="123"/>
      <c r="Y70" s="123"/>
      <c r="Z70" s="123"/>
      <c r="AA70" s="123"/>
      <c r="AB70" s="123"/>
      <c r="AC70" s="123"/>
      <c r="AD70" s="123"/>
      <c r="AE70" s="123"/>
      <c r="AF70" s="123"/>
      <c r="AG70" s="123"/>
      <c r="AH70" s="123"/>
      <c r="AI70" s="123"/>
      <c r="AJ70" s="123"/>
    </row>
    <row r="71" spans="2:36" s="3" customFormat="1" ht="15" customHeight="1" x14ac:dyDescent="0.45">
      <c r="B71" s="346"/>
      <c r="C71" s="346"/>
      <c r="D71" s="346"/>
      <c r="E71" s="346"/>
      <c r="F71" s="346"/>
      <c r="G71" s="346"/>
      <c r="H71" s="346"/>
      <c r="I71" s="346"/>
      <c r="J71" s="346"/>
      <c r="K71" s="346"/>
      <c r="L71" s="346"/>
      <c r="M71" s="346"/>
      <c r="N71" s="346"/>
      <c r="O71" s="356"/>
      <c r="Q71" s="123"/>
      <c r="R71" s="123"/>
      <c r="S71" s="123"/>
      <c r="T71" s="123"/>
      <c r="U71" s="123"/>
      <c r="V71" s="123"/>
      <c r="W71" s="123"/>
      <c r="X71" s="123"/>
      <c r="Y71" s="123"/>
      <c r="Z71" s="123"/>
      <c r="AA71" s="123"/>
      <c r="AB71" s="123"/>
      <c r="AC71" s="123"/>
      <c r="AD71" s="123"/>
      <c r="AE71" s="123"/>
      <c r="AF71" s="123"/>
      <c r="AG71" s="123"/>
      <c r="AH71" s="123"/>
      <c r="AI71" s="123"/>
      <c r="AJ71" s="123"/>
    </row>
    <row r="72" spans="2:36" s="3" customFormat="1" ht="15" customHeight="1" x14ac:dyDescent="0.45">
      <c r="B72" s="346"/>
      <c r="C72" s="346"/>
      <c r="D72" s="346"/>
      <c r="E72" s="346"/>
      <c r="F72" s="346"/>
      <c r="G72" s="346"/>
      <c r="H72" s="346"/>
      <c r="I72" s="346"/>
      <c r="J72" s="346"/>
      <c r="K72" s="346"/>
      <c r="L72" s="346"/>
      <c r="M72" s="346"/>
      <c r="N72" s="346"/>
      <c r="O72" s="356"/>
      <c r="Q72" s="123"/>
      <c r="R72" s="123"/>
      <c r="S72" s="123"/>
      <c r="T72" s="123"/>
      <c r="U72" s="123"/>
      <c r="V72" s="123"/>
      <c r="W72" s="123"/>
      <c r="X72" s="123"/>
      <c r="Y72" s="123"/>
      <c r="Z72" s="123"/>
      <c r="AA72" s="123"/>
      <c r="AB72" s="123"/>
      <c r="AC72" s="123"/>
      <c r="AD72" s="123"/>
      <c r="AE72" s="123"/>
      <c r="AF72" s="123"/>
      <c r="AG72" s="123"/>
      <c r="AH72" s="123"/>
      <c r="AI72" s="123"/>
      <c r="AJ72" s="123"/>
    </row>
    <row r="73" spans="2:36" s="3" customFormat="1" ht="15" customHeight="1" x14ac:dyDescent="0.45">
      <c r="B73" s="346"/>
      <c r="C73" s="346"/>
      <c r="D73" s="346"/>
      <c r="E73" s="346"/>
      <c r="F73" s="346"/>
      <c r="G73" s="346"/>
      <c r="H73" s="346"/>
      <c r="I73" s="346"/>
      <c r="J73" s="346"/>
      <c r="K73" s="346"/>
      <c r="L73" s="346"/>
      <c r="M73" s="346"/>
      <c r="N73" s="346"/>
      <c r="O73" s="356"/>
      <c r="Q73" s="123"/>
      <c r="R73" s="123"/>
      <c r="S73" s="123"/>
      <c r="T73" s="123"/>
      <c r="U73" s="123"/>
      <c r="V73" s="123"/>
      <c r="W73" s="123"/>
      <c r="X73" s="123"/>
      <c r="Y73" s="123"/>
      <c r="Z73" s="123"/>
      <c r="AA73" s="123"/>
      <c r="AB73" s="123"/>
      <c r="AC73" s="123"/>
      <c r="AD73" s="123"/>
      <c r="AE73" s="123"/>
      <c r="AF73" s="123"/>
      <c r="AG73" s="123"/>
      <c r="AH73" s="123"/>
      <c r="AI73" s="123"/>
      <c r="AJ73" s="123"/>
    </row>
    <row r="74" spans="2:36" s="3" customFormat="1" ht="15" customHeight="1" x14ac:dyDescent="0.45">
      <c r="B74" s="346"/>
      <c r="C74" s="346"/>
      <c r="D74" s="346"/>
      <c r="E74" s="346"/>
      <c r="F74" s="346"/>
      <c r="G74" s="346"/>
      <c r="H74" s="346"/>
      <c r="I74" s="346"/>
      <c r="J74" s="346"/>
      <c r="K74" s="346"/>
      <c r="L74" s="346"/>
      <c r="M74" s="346"/>
      <c r="N74" s="346"/>
      <c r="O74" s="356"/>
      <c r="Q74" s="123"/>
      <c r="R74" s="123"/>
      <c r="S74" s="123"/>
      <c r="T74" s="123"/>
      <c r="U74" s="123"/>
      <c r="V74" s="123"/>
      <c r="W74" s="123"/>
      <c r="X74" s="123"/>
      <c r="Y74" s="123"/>
      <c r="Z74" s="123"/>
      <c r="AA74" s="123"/>
      <c r="AB74" s="123"/>
      <c r="AC74" s="123"/>
      <c r="AD74" s="123"/>
      <c r="AE74" s="123"/>
      <c r="AF74" s="123"/>
      <c r="AG74" s="123"/>
      <c r="AH74" s="123"/>
      <c r="AI74" s="123"/>
      <c r="AJ74" s="123"/>
    </row>
    <row r="75" spans="2:36" s="3" customFormat="1" ht="15" customHeight="1" x14ac:dyDescent="0.45">
      <c r="B75" s="346"/>
      <c r="C75" s="346"/>
      <c r="D75" s="346"/>
      <c r="E75" s="346"/>
      <c r="F75" s="346"/>
      <c r="G75" s="346"/>
      <c r="H75" s="346"/>
      <c r="I75" s="346"/>
      <c r="J75" s="346"/>
      <c r="K75" s="346"/>
      <c r="L75" s="346"/>
      <c r="M75" s="346"/>
      <c r="N75" s="346"/>
      <c r="O75" s="356"/>
      <c r="Q75" s="123"/>
      <c r="R75" s="123"/>
      <c r="S75" s="123"/>
      <c r="T75" s="123"/>
      <c r="U75" s="123"/>
      <c r="V75" s="123"/>
      <c r="W75" s="123"/>
      <c r="X75" s="123"/>
      <c r="Y75" s="123"/>
      <c r="Z75" s="123"/>
      <c r="AA75" s="123"/>
      <c r="AB75" s="123"/>
      <c r="AC75" s="123"/>
      <c r="AD75" s="123"/>
      <c r="AE75" s="123"/>
      <c r="AF75" s="123"/>
      <c r="AG75" s="123"/>
      <c r="AH75" s="123"/>
      <c r="AI75" s="123"/>
      <c r="AJ75" s="123"/>
    </row>
    <row r="76" spans="2:36" s="3" customFormat="1" ht="15" customHeight="1" x14ac:dyDescent="0.45">
      <c r="B76" s="346"/>
      <c r="C76" s="346"/>
      <c r="D76" s="346"/>
      <c r="E76" s="346"/>
      <c r="F76" s="346"/>
      <c r="G76" s="346"/>
      <c r="H76" s="346"/>
      <c r="I76" s="346"/>
      <c r="J76" s="346"/>
      <c r="K76" s="346"/>
      <c r="L76" s="346"/>
      <c r="M76" s="346"/>
      <c r="N76" s="346"/>
      <c r="O76" s="356"/>
      <c r="Q76" s="123"/>
      <c r="R76" s="123"/>
      <c r="S76" s="123"/>
      <c r="T76" s="123"/>
      <c r="U76" s="123"/>
      <c r="V76" s="123"/>
      <c r="W76" s="123"/>
      <c r="X76" s="123"/>
      <c r="Y76" s="123"/>
      <c r="Z76" s="123"/>
      <c r="AA76" s="123"/>
      <c r="AB76" s="123"/>
      <c r="AC76" s="123"/>
      <c r="AD76" s="123"/>
      <c r="AE76" s="123"/>
      <c r="AF76" s="123"/>
      <c r="AG76" s="123"/>
      <c r="AH76" s="123"/>
      <c r="AI76" s="123"/>
      <c r="AJ76" s="123"/>
    </row>
    <row r="77" spans="2:36" s="3" customFormat="1" ht="15" customHeight="1" x14ac:dyDescent="0.45">
      <c r="B77" s="346"/>
      <c r="C77" s="346"/>
      <c r="D77" s="346"/>
      <c r="E77" s="346"/>
      <c r="F77" s="346"/>
      <c r="G77" s="346"/>
      <c r="H77" s="346"/>
      <c r="I77" s="346"/>
      <c r="J77" s="346"/>
      <c r="K77" s="346"/>
      <c r="L77" s="346"/>
      <c r="M77" s="346"/>
      <c r="N77" s="346"/>
      <c r="O77" s="356"/>
      <c r="Q77" s="123"/>
      <c r="R77" s="123"/>
      <c r="S77" s="123"/>
      <c r="T77" s="123"/>
      <c r="U77" s="123"/>
      <c r="V77" s="123"/>
      <c r="W77" s="123"/>
      <c r="X77" s="123"/>
      <c r="Y77" s="123"/>
      <c r="Z77" s="123"/>
      <c r="AA77" s="123"/>
      <c r="AB77" s="123"/>
      <c r="AC77" s="123"/>
      <c r="AD77" s="123"/>
      <c r="AE77" s="123"/>
      <c r="AF77" s="123"/>
      <c r="AG77" s="123"/>
      <c r="AH77" s="123"/>
      <c r="AI77" s="123"/>
      <c r="AJ77" s="123"/>
    </row>
    <row r="78" spans="2:36" s="3" customFormat="1" ht="15" customHeight="1" x14ac:dyDescent="0.45">
      <c r="B78" s="346"/>
      <c r="C78" s="346"/>
      <c r="D78" s="346"/>
      <c r="E78" s="346"/>
      <c r="F78" s="346"/>
      <c r="G78" s="346"/>
      <c r="H78" s="346"/>
      <c r="I78" s="346"/>
      <c r="J78" s="346"/>
      <c r="K78" s="346"/>
      <c r="L78" s="346"/>
      <c r="M78" s="346"/>
      <c r="N78" s="346"/>
      <c r="O78" s="356"/>
      <c r="Q78" s="123"/>
      <c r="R78" s="123"/>
      <c r="S78" s="123"/>
      <c r="T78" s="123"/>
      <c r="U78" s="123"/>
      <c r="V78" s="123"/>
      <c r="W78" s="123"/>
      <c r="X78" s="123"/>
      <c r="Y78" s="123"/>
      <c r="Z78" s="123"/>
      <c r="AA78" s="123"/>
      <c r="AB78" s="123"/>
      <c r="AC78" s="123"/>
      <c r="AD78" s="123"/>
      <c r="AE78" s="123"/>
      <c r="AF78" s="123"/>
      <c r="AG78" s="123"/>
      <c r="AH78" s="123"/>
      <c r="AI78" s="123"/>
      <c r="AJ78" s="123"/>
    </row>
    <row r="79" spans="2:36" s="3" customFormat="1" ht="15" customHeight="1" x14ac:dyDescent="0.45">
      <c r="B79" s="346"/>
      <c r="C79" s="346"/>
      <c r="D79" s="346"/>
      <c r="E79" s="346"/>
      <c r="F79" s="346"/>
      <c r="G79" s="346"/>
      <c r="H79" s="346"/>
      <c r="I79" s="346"/>
      <c r="J79" s="346"/>
      <c r="K79" s="346"/>
      <c r="L79" s="346"/>
      <c r="M79" s="346"/>
      <c r="N79" s="346"/>
      <c r="O79" s="356"/>
      <c r="Q79" s="123"/>
      <c r="R79" s="123"/>
      <c r="S79" s="123"/>
      <c r="T79" s="123"/>
      <c r="U79" s="123"/>
      <c r="V79" s="123"/>
      <c r="W79" s="123"/>
      <c r="X79" s="123"/>
      <c r="Y79" s="123"/>
      <c r="Z79" s="123"/>
      <c r="AA79" s="123"/>
      <c r="AB79" s="123"/>
      <c r="AC79" s="123"/>
      <c r="AD79" s="123"/>
      <c r="AE79" s="123"/>
      <c r="AF79" s="123"/>
      <c r="AG79" s="123"/>
      <c r="AH79" s="123"/>
      <c r="AI79" s="123"/>
      <c r="AJ79" s="123"/>
    </row>
    <row r="80" spans="2:36" s="3" customFormat="1" ht="15" customHeight="1" x14ac:dyDescent="0.45">
      <c r="B80" s="346"/>
      <c r="C80" s="346"/>
      <c r="D80" s="346"/>
      <c r="E80" s="346"/>
      <c r="F80" s="346"/>
      <c r="G80" s="346"/>
      <c r="H80" s="346"/>
      <c r="I80" s="346"/>
      <c r="J80" s="346"/>
      <c r="K80" s="346"/>
      <c r="L80" s="346"/>
      <c r="M80" s="346"/>
      <c r="N80" s="346"/>
      <c r="O80" s="356"/>
      <c r="Q80" s="123"/>
      <c r="R80" s="123"/>
      <c r="S80" s="123"/>
      <c r="T80" s="123"/>
      <c r="U80" s="123"/>
      <c r="V80" s="123"/>
      <c r="W80" s="123"/>
      <c r="X80" s="123"/>
      <c r="Y80" s="123"/>
      <c r="Z80" s="123"/>
      <c r="AA80" s="123"/>
      <c r="AB80" s="123"/>
      <c r="AC80" s="123"/>
      <c r="AD80" s="123"/>
      <c r="AE80" s="123"/>
      <c r="AF80" s="123"/>
      <c r="AG80" s="123"/>
      <c r="AH80" s="123"/>
      <c r="AI80" s="123"/>
      <c r="AJ80" s="123"/>
    </row>
    <row r="81" spans="2:36" s="3" customFormat="1" ht="15" customHeight="1" x14ac:dyDescent="0.45">
      <c r="B81" s="346"/>
      <c r="C81" s="346"/>
      <c r="D81" s="346"/>
      <c r="E81" s="346"/>
      <c r="F81" s="346"/>
      <c r="G81" s="346"/>
      <c r="H81" s="346"/>
      <c r="I81" s="346"/>
      <c r="J81" s="346"/>
      <c r="K81" s="346"/>
      <c r="L81" s="346"/>
      <c r="M81" s="346"/>
      <c r="N81" s="346"/>
      <c r="O81" s="356"/>
      <c r="Q81" s="123"/>
      <c r="R81" s="123"/>
      <c r="S81" s="123"/>
      <c r="T81" s="123"/>
      <c r="U81" s="123"/>
      <c r="V81" s="123"/>
      <c r="W81" s="123"/>
      <c r="X81" s="123"/>
      <c r="Y81" s="123"/>
      <c r="Z81" s="123"/>
      <c r="AA81" s="123"/>
      <c r="AB81" s="123"/>
      <c r="AC81" s="123"/>
      <c r="AD81" s="123"/>
      <c r="AE81" s="123"/>
      <c r="AF81" s="123"/>
      <c r="AG81" s="123"/>
      <c r="AH81" s="123"/>
      <c r="AI81" s="123"/>
      <c r="AJ81" s="123"/>
    </row>
    <row r="82" spans="2:36" s="3" customFormat="1" ht="15" customHeight="1" x14ac:dyDescent="0.45">
      <c r="B82" s="346"/>
      <c r="C82" s="346"/>
      <c r="D82" s="346"/>
      <c r="E82" s="346"/>
      <c r="F82" s="346"/>
      <c r="G82" s="346"/>
      <c r="H82" s="346"/>
      <c r="I82" s="346"/>
      <c r="J82" s="346"/>
      <c r="K82" s="346"/>
      <c r="L82" s="346"/>
      <c r="M82" s="346"/>
      <c r="N82" s="346"/>
      <c r="O82" s="356"/>
      <c r="Q82" s="123"/>
      <c r="R82" s="123"/>
      <c r="S82" s="123"/>
      <c r="T82" s="123"/>
      <c r="U82" s="123"/>
      <c r="V82" s="123"/>
      <c r="W82" s="123"/>
      <c r="X82" s="123"/>
      <c r="Y82" s="123"/>
      <c r="Z82" s="123"/>
      <c r="AA82" s="123"/>
      <c r="AB82" s="123"/>
      <c r="AC82" s="123"/>
      <c r="AD82" s="123"/>
      <c r="AE82" s="123"/>
      <c r="AF82" s="123"/>
      <c r="AG82" s="123"/>
      <c r="AH82" s="123"/>
      <c r="AI82" s="123"/>
      <c r="AJ82" s="123"/>
    </row>
    <row r="83" spans="2:36" s="3" customFormat="1" ht="15" customHeight="1" x14ac:dyDescent="0.45">
      <c r="B83" s="346"/>
      <c r="C83" s="346"/>
      <c r="D83" s="346"/>
      <c r="E83" s="346"/>
      <c r="F83" s="346"/>
      <c r="G83" s="346"/>
      <c r="H83" s="346"/>
      <c r="I83" s="346"/>
      <c r="J83" s="346"/>
      <c r="K83" s="346"/>
      <c r="L83" s="346"/>
      <c r="M83" s="346"/>
      <c r="N83" s="346"/>
      <c r="O83" s="356"/>
      <c r="Q83" s="123"/>
      <c r="R83" s="123"/>
      <c r="S83" s="123"/>
      <c r="T83" s="123"/>
      <c r="U83" s="123"/>
      <c r="V83" s="123"/>
      <c r="W83" s="123"/>
      <c r="X83" s="123"/>
      <c r="Y83" s="123"/>
      <c r="Z83" s="123"/>
      <c r="AA83" s="123"/>
      <c r="AB83" s="123"/>
      <c r="AC83" s="123"/>
      <c r="AD83" s="123"/>
      <c r="AE83" s="123"/>
      <c r="AF83" s="123"/>
      <c r="AG83" s="123"/>
      <c r="AH83" s="123"/>
      <c r="AI83" s="123"/>
      <c r="AJ83" s="123"/>
    </row>
    <row r="84" spans="2:36" s="3" customFormat="1" ht="15" customHeight="1" x14ac:dyDescent="0.45">
      <c r="B84" s="346"/>
      <c r="C84" s="346"/>
      <c r="D84" s="346"/>
      <c r="E84" s="346"/>
      <c r="F84" s="346"/>
      <c r="G84" s="346"/>
      <c r="H84" s="346"/>
      <c r="I84" s="346"/>
      <c r="J84" s="346"/>
      <c r="K84" s="346"/>
      <c r="L84" s="346"/>
      <c r="M84" s="346"/>
      <c r="N84" s="346"/>
      <c r="O84" s="356"/>
      <c r="Q84" s="123"/>
      <c r="R84" s="123"/>
      <c r="S84" s="123"/>
      <c r="T84" s="123"/>
      <c r="U84" s="123"/>
      <c r="V84" s="123"/>
      <c r="W84" s="123"/>
      <c r="X84" s="123"/>
      <c r="Y84" s="123"/>
      <c r="Z84" s="123"/>
      <c r="AA84" s="123"/>
      <c r="AB84" s="123"/>
      <c r="AC84" s="123"/>
      <c r="AD84" s="123"/>
      <c r="AE84" s="123"/>
      <c r="AF84" s="123"/>
      <c r="AG84" s="123"/>
      <c r="AH84" s="123"/>
      <c r="AI84" s="123"/>
      <c r="AJ84" s="123"/>
    </row>
    <row r="85" spans="2:36" s="3" customFormat="1" ht="15" customHeight="1" x14ac:dyDescent="0.45">
      <c r="B85" s="346"/>
      <c r="C85" s="346"/>
      <c r="D85" s="346"/>
      <c r="E85" s="346"/>
      <c r="F85" s="346"/>
      <c r="G85" s="346"/>
      <c r="H85" s="346"/>
      <c r="I85" s="346"/>
      <c r="J85" s="346"/>
      <c r="K85" s="346"/>
      <c r="L85" s="346"/>
      <c r="M85" s="346"/>
      <c r="N85" s="346"/>
      <c r="O85" s="356"/>
      <c r="Q85" s="123"/>
      <c r="R85" s="123"/>
      <c r="S85" s="123"/>
      <c r="T85" s="123"/>
      <c r="U85" s="123"/>
      <c r="V85" s="123"/>
      <c r="W85" s="123"/>
      <c r="X85" s="123"/>
      <c r="Y85" s="123"/>
      <c r="Z85" s="123"/>
      <c r="AA85" s="123"/>
      <c r="AB85" s="123"/>
      <c r="AC85" s="123"/>
      <c r="AD85" s="123"/>
      <c r="AE85" s="123"/>
      <c r="AF85" s="123"/>
      <c r="AG85" s="123"/>
      <c r="AH85" s="123"/>
      <c r="AI85" s="123"/>
      <c r="AJ85" s="123"/>
    </row>
    <row r="86" spans="2:36" s="3" customFormat="1" ht="15" customHeight="1" x14ac:dyDescent="0.45">
      <c r="B86" s="346"/>
      <c r="C86" s="346"/>
      <c r="D86" s="346"/>
      <c r="E86" s="346"/>
      <c r="F86" s="346"/>
      <c r="G86" s="346"/>
      <c r="H86" s="346"/>
      <c r="I86" s="346"/>
      <c r="J86" s="346"/>
      <c r="K86" s="346"/>
      <c r="L86" s="346"/>
      <c r="M86" s="346"/>
      <c r="N86" s="346"/>
      <c r="O86" s="356"/>
      <c r="Q86" s="123"/>
      <c r="R86" s="123"/>
      <c r="S86" s="123"/>
      <c r="T86" s="123"/>
      <c r="U86" s="123"/>
      <c r="V86" s="123"/>
      <c r="W86" s="123"/>
      <c r="X86" s="123"/>
      <c r="Y86" s="123"/>
      <c r="Z86" s="123"/>
      <c r="AA86" s="123"/>
      <c r="AB86" s="123"/>
      <c r="AC86" s="123"/>
      <c r="AD86" s="123"/>
      <c r="AE86" s="123"/>
      <c r="AF86" s="123"/>
      <c r="AG86" s="123"/>
      <c r="AH86" s="123"/>
      <c r="AI86" s="123"/>
      <c r="AJ86" s="123"/>
    </row>
    <row r="87" spans="2:36" s="3" customFormat="1" ht="15" customHeight="1" x14ac:dyDescent="0.45">
      <c r="B87" s="346"/>
      <c r="C87" s="346"/>
      <c r="D87" s="346"/>
      <c r="E87" s="346"/>
      <c r="F87" s="346"/>
      <c r="G87" s="346"/>
      <c r="H87" s="346"/>
      <c r="I87" s="346"/>
      <c r="J87" s="346"/>
      <c r="K87" s="346"/>
      <c r="L87" s="346"/>
      <c r="M87" s="346"/>
      <c r="N87" s="346"/>
      <c r="O87" s="356"/>
      <c r="Q87" s="123"/>
      <c r="R87" s="123"/>
      <c r="S87" s="123"/>
      <c r="T87" s="123"/>
      <c r="U87" s="123"/>
      <c r="V87" s="123"/>
      <c r="W87" s="123"/>
      <c r="X87" s="123"/>
      <c r="Y87" s="123"/>
      <c r="Z87" s="123"/>
      <c r="AA87" s="123"/>
      <c r="AB87" s="123"/>
      <c r="AC87" s="123"/>
      <c r="AD87" s="123"/>
      <c r="AE87" s="123"/>
      <c r="AF87" s="123"/>
      <c r="AG87" s="123"/>
      <c r="AH87" s="123"/>
      <c r="AI87" s="123"/>
      <c r="AJ87" s="123"/>
    </row>
    <row r="88" spans="2:36" s="3" customFormat="1" ht="15" customHeight="1" x14ac:dyDescent="0.45">
      <c r="B88" s="346"/>
      <c r="C88" s="346"/>
      <c r="D88" s="346"/>
      <c r="E88" s="346"/>
      <c r="F88" s="346"/>
      <c r="G88" s="346"/>
      <c r="H88" s="346"/>
      <c r="I88" s="346"/>
      <c r="J88" s="346"/>
      <c r="K88" s="346"/>
      <c r="L88" s="346"/>
      <c r="M88" s="346"/>
      <c r="N88" s="346"/>
      <c r="O88" s="356"/>
      <c r="Q88" s="123"/>
      <c r="R88" s="123"/>
      <c r="S88" s="123"/>
      <c r="T88" s="123"/>
      <c r="U88" s="123"/>
      <c r="V88" s="123"/>
      <c r="W88" s="123"/>
      <c r="X88" s="123"/>
      <c r="Y88" s="123"/>
      <c r="Z88" s="123"/>
      <c r="AA88" s="123"/>
      <c r="AB88" s="123"/>
      <c r="AC88" s="123"/>
      <c r="AD88" s="123"/>
      <c r="AE88" s="123"/>
      <c r="AF88" s="123"/>
      <c r="AG88" s="123"/>
      <c r="AH88" s="123"/>
      <c r="AI88" s="123"/>
      <c r="AJ88" s="123"/>
    </row>
    <row r="89" spans="2:36" s="3" customFormat="1" ht="15" customHeight="1" x14ac:dyDescent="0.45">
      <c r="B89" s="346"/>
      <c r="C89" s="346"/>
      <c r="D89" s="346"/>
      <c r="E89" s="346"/>
      <c r="F89" s="346"/>
      <c r="G89" s="346"/>
      <c r="H89" s="346"/>
      <c r="I89" s="346"/>
      <c r="J89" s="346"/>
      <c r="K89" s="346"/>
      <c r="L89" s="346"/>
      <c r="M89" s="346"/>
      <c r="N89" s="346"/>
      <c r="O89" s="356"/>
      <c r="Q89" s="123"/>
      <c r="R89" s="123"/>
      <c r="S89" s="123"/>
      <c r="T89" s="123"/>
      <c r="U89" s="123"/>
      <c r="V89" s="123"/>
      <c r="W89" s="123"/>
      <c r="X89" s="123"/>
      <c r="Y89" s="123"/>
      <c r="Z89" s="123"/>
      <c r="AA89" s="123"/>
      <c r="AB89" s="123"/>
      <c r="AC89" s="123"/>
      <c r="AD89" s="123"/>
      <c r="AE89" s="123"/>
      <c r="AF89" s="123"/>
      <c r="AG89" s="123"/>
      <c r="AH89" s="123"/>
      <c r="AI89" s="123"/>
      <c r="AJ89" s="123"/>
    </row>
    <row r="90" spans="2:36" s="3" customFormat="1" ht="15" customHeight="1" x14ac:dyDescent="0.45">
      <c r="B90" s="346"/>
      <c r="C90" s="346"/>
      <c r="D90" s="346"/>
      <c r="E90" s="346"/>
      <c r="F90" s="346"/>
      <c r="G90" s="346"/>
      <c r="H90" s="346"/>
      <c r="I90" s="346"/>
      <c r="J90" s="346"/>
      <c r="K90" s="346"/>
      <c r="L90" s="346"/>
      <c r="M90" s="346"/>
      <c r="N90" s="346"/>
      <c r="O90" s="356"/>
      <c r="Q90" s="123"/>
      <c r="R90" s="123"/>
      <c r="S90" s="123"/>
      <c r="T90" s="123"/>
      <c r="U90" s="123"/>
      <c r="V90" s="123"/>
      <c r="W90" s="123"/>
      <c r="X90" s="123"/>
      <c r="Y90" s="123"/>
      <c r="Z90" s="123"/>
      <c r="AA90" s="123"/>
      <c r="AB90" s="123"/>
      <c r="AC90" s="123"/>
      <c r="AD90" s="123"/>
      <c r="AE90" s="123"/>
      <c r="AF90" s="123"/>
      <c r="AG90" s="123"/>
      <c r="AH90" s="123"/>
      <c r="AI90" s="123"/>
      <c r="AJ90" s="123"/>
    </row>
    <row r="91" spans="2:36" s="3" customFormat="1" ht="15" customHeight="1" x14ac:dyDescent="0.45">
      <c r="B91" s="346"/>
      <c r="C91" s="346"/>
      <c r="D91" s="346"/>
      <c r="E91" s="346"/>
      <c r="F91" s="346"/>
      <c r="G91" s="346"/>
      <c r="H91" s="346"/>
      <c r="I91" s="346"/>
      <c r="J91" s="346"/>
      <c r="K91" s="346"/>
      <c r="L91" s="346"/>
      <c r="M91" s="346"/>
      <c r="N91" s="346"/>
      <c r="O91" s="356"/>
      <c r="Q91" s="123"/>
      <c r="R91" s="123"/>
      <c r="S91" s="123"/>
      <c r="T91" s="123"/>
      <c r="U91" s="123"/>
      <c r="V91" s="123"/>
      <c r="W91" s="123"/>
      <c r="X91" s="123"/>
      <c r="Y91" s="123"/>
      <c r="Z91" s="123"/>
      <c r="AA91" s="123"/>
      <c r="AB91" s="123"/>
      <c r="AC91" s="123"/>
      <c r="AD91" s="123"/>
      <c r="AE91" s="123"/>
      <c r="AF91" s="123"/>
      <c r="AG91" s="123"/>
      <c r="AH91" s="123"/>
      <c r="AI91" s="123"/>
      <c r="AJ91" s="123"/>
    </row>
    <row r="92" spans="2:36" s="3" customFormat="1" ht="15" customHeight="1" x14ac:dyDescent="0.45">
      <c r="B92" s="346"/>
      <c r="C92" s="346"/>
      <c r="D92" s="346"/>
      <c r="E92" s="346"/>
      <c r="F92" s="346"/>
      <c r="G92" s="346"/>
      <c r="H92" s="346"/>
      <c r="I92" s="346"/>
      <c r="J92" s="346"/>
      <c r="K92" s="346"/>
      <c r="L92" s="346"/>
      <c r="M92" s="346"/>
      <c r="N92" s="346"/>
      <c r="O92" s="356"/>
      <c r="Q92" s="123"/>
      <c r="R92" s="123"/>
      <c r="S92" s="123"/>
      <c r="T92" s="123"/>
      <c r="U92" s="123"/>
      <c r="V92" s="123"/>
      <c r="W92" s="123"/>
      <c r="X92" s="123"/>
      <c r="Y92" s="123"/>
      <c r="Z92" s="123"/>
      <c r="AA92" s="123"/>
      <c r="AB92" s="123"/>
      <c r="AC92" s="123"/>
      <c r="AD92" s="123"/>
      <c r="AE92" s="123"/>
      <c r="AF92" s="123"/>
      <c r="AG92" s="123"/>
      <c r="AH92" s="123"/>
      <c r="AI92" s="123"/>
      <c r="AJ92" s="123"/>
    </row>
    <row r="93" spans="2:36" s="3" customFormat="1" ht="15" customHeight="1" x14ac:dyDescent="0.45">
      <c r="B93" s="346"/>
      <c r="C93" s="346"/>
      <c r="D93" s="346"/>
      <c r="E93" s="346"/>
      <c r="F93" s="346"/>
      <c r="G93" s="346"/>
      <c r="H93" s="346"/>
      <c r="I93" s="346"/>
      <c r="J93" s="346"/>
      <c r="K93" s="346"/>
      <c r="L93" s="346"/>
      <c r="M93" s="346"/>
      <c r="N93" s="346"/>
      <c r="O93" s="356"/>
      <c r="Q93" s="123"/>
      <c r="R93" s="123"/>
      <c r="S93" s="123"/>
      <c r="T93" s="123"/>
      <c r="U93" s="123"/>
      <c r="V93" s="123"/>
      <c r="W93" s="123"/>
      <c r="X93" s="123"/>
      <c r="Y93" s="123"/>
      <c r="Z93" s="123"/>
      <c r="AA93" s="123"/>
      <c r="AB93" s="123"/>
      <c r="AC93" s="123"/>
      <c r="AD93" s="123"/>
      <c r="AE93" s="123"/>
      <c r="AF93" s="123"/>
      <c r="AG93" s="123"/>
      <c r="AH93" s="123"/>
      <c r="AI93" s="123"/>
      <c r="AJ93" s="123"/>
    </row>
    <row r="94" spans="2:36" s="3" customFormat="1" ht="15" customHeight="1" x14ac:dyDescent="0.45">
      <c r="B94" s="346"/>
      <c r="C94" s="346"/>
      <c r="D94" s="346"/>
      <c r="E94" s="346"/>
      <c r="F94" s="346"/>
      <c r="G94" s="346"/>
      <c r="H94" s="346"/>
      <c r="I94" s="346"/>
      <c r="J94" s="346"/>
      <c r="K94" s="346"/>
      <c r="L94" s="346"/>
      <c r="M94" s="346"/>
      <c r="N94" s="346"/>
      <c r="O94" s="356"/>
      <c r="Q94" s="123"/>
      <c r="R94" s="123"/>
      <c r="S94" s="123"/>
      <c r="T94" s="123"/>
      <c r="U94" s="123"/>
      <c r="V94" s="123"/>
      <c r="W94" s="123"/>
      <c r="X94" s="123"/>
      <c r="Y94" s="123"/>
      <c r="Z94" s="123"/>
      <c r="AA94" s="123"/>
      <c r="AB94" s="123"/>
      <c r="AC94" s="123"/>
      <c r="AD94" s="123"/>
      <c r="AE94" s="123"/>
      <c r="AF94" s="123"/>
      <c r="AG94" s="123"/>
      <c r="AH94" s="123"/>
      <c r="AI94" s="123"/>
      <c r="AJ94" s="123"/>
    </row>
    <row r="95" spans="2:36" s="3" customFormat="1" ht="15" customHeight="1" x14ac:dyDescent="0.45">
      <c r="B95" s="346"/>
      <c r="C95" s="346"/>
      <c r="D95" s="346"/>
      <c r="E95" s="346"/>
      <c r="F95" s="346"/>
      <c r="G95" s="346"/>
      <c r="H95" s="346"/>
      <c r="I95" s="346"/>
      <c r="J95" s="346"/>
      <c r="K95" s="346"/>
      <c r="L95" s="346"/>
      <c r="M95" s="346"/>
      <c r="N95" s="346"/>
      <c r="O95" s="356"/>
      <c r="Q95" s="123"/>
      <c r="R95" s="123"/>
      <c r="S95" s="123"/>
      <c r="T95" s="123"/>
      <c r="U95" s="123"/>
      <c r="V95" s="123"/>
      <c r="W95" s="123"/>
      <c r="X95" s="123"/>
      <c r="Y95" s="123"/>
      <c r="Z95" s="123"/>
      <c r="AA95" s="123"/>
      <c r="AB95" s="123"/>
      <c r="AC95" s="123"/>
      <c r="AD95" s="123"/>
      <c r="AE95" s="123"/>
      <c r="AF95" s="123"/>
      <c r="AG95" s="123"/>
      <c r="AH95" s="123"/>
      <c r="AI95" s="123"/>
      <c r="AJ95" s="123"/>
    </row>
    <row r="96" spans="2:36" s="3" customFormat="1" ht="15" customHeight="1" x14ac:dyDescent="0.45">
      <c r="B96" s="346"/>
      <c r="C96" s="346"/>
      <c r="D96" s="346"/>
      <c r="E96" s="346"/>
      <c r="F96" s="346"/>
      <c r="G96" s="346"/>
      <c r="H96" s="346"/>
      <c r="I96" s="346"/>
      <c r="J96" s="346"/>
      <c r="K96" s="346"/>
      <c r="L96" s="346"/>
      <c r="M96" s="346"/>
      <c r="N96" s="346"/>
      <c r="O96" s="356"/>
      <c r="Q96" s="123"/>
      <c r="R96" s="123"/>
      <c r="S96" s="123"/>
      <c r="T96" s="123"/>
      <c r="U96" s="123"/>
      <c r="V96" s="123"/>
      <c r="W96" s="123"/>
      <c r="X96" s="123"/>
      <c r="Y96" s="123"/>
      <c r="Z96" s="123"/>
      <c r="AA96" s="123"/>
      <c r="AB96" s="123"/>
      <c r="AC96" s="123"/>
      <c r="AD96" s="123"/>
      <c r="AE96" s="123"/>
      <c r="AF96" s="123"/>
      <c r="AG96" s="123"/>
      <c r="AH96" s="123"/>
      <c r="AI96" s="123"/>
      <c r="AJ96" s="123"/>
    </row>
    <row r="97" spans="2:36" s="3" customFormat="1" ht="15" customHeight="1" x14ac:dyDescent="0.45">
      <c r="B97" s="346"/>
      <c r="C97" s="346"/>
      <c r="D97" s="346"/>
      <c r="E97" s="346"/>
      <c r="F97" s="346"/>
      <c r="G97" s="346"/>
      <c r="H97" s="346"/>
      <c r="I97" s="346"/>
      <c r="J97" s="346"/>
      <c r="K97" s="346"/>
      <c r="L97" s="346"/>
      <c r="M97" s="346"/>
      <c r="N97" s="346"/>
      <c r="O97" s="356"/>
      <c r="Q97" s="123"/>
      <c r="R97" s="123"/>
      <c r="S97" s="123"/>
      <c r="T97" s="123"/>
      <c r="U97" s="123"/>
      <c r="V97" s="123"/>
      <c r="W97" s="123"/>
      <c r="X97" s="123"/>
      <c r="Y97" s="123"/>
      <c r="Z97" s="123"/>
      <c r="AA97" s="123"/>
      <c r="AB97" s="123"/>
      <c r="AC97" s="123"/>
      <c r="AD97" s="123"/>
      <c r="AE97" s="123"/>
      <c r="AF97" s="123"/>
      <c r="AG97" s="123"/>
      <c r="AH97" s="123"/>
      <c r="AI97" s="123"/>
      <c r="AJ97" s="123"/>
    </row>
    <row r="98" spans="2:36" s="3" customFormat="1" ht="15" customHeight="1" x14ac:dyDescent="0.45">
      <c r="B98" s="346"/>
      <c r="C98" s="346"/>
      <c r="D98" s="346"/>
      <c r="E98" s="346"/>
      <c r="F98" s="346"/>
      <c r="G98" s="346"/>
      <c r="H98" s="346"/>
      <c r="I98" s="346"/>
      <c r="J98" s="346"/>
      <c r="K98" s="346"/>
      <c r="L98" s="346"/>
      <c r="M98" s="346"/>
      <c r="N98" s="346"/>
      <c r="O98" s="356"/>
      <c r="Q98" s="123"/>
      <c r="R98" s="123"/>
      <c r="S98" s="123"/>
      <c r="T98" s="123"/>
      <c r="U98" s="123"/>
      <c r="V98" s="123"/>
      <c r="W98" s="123"/>
      <c r="X98" s="123"/>
      <c r="Y98" s="123"/>
      <c r="Z98" s="123"/>
      <c r="AA98" s="123"/>
      <c r="AB98" s="123"/>
      <c r="AC98" s="123"/>
      <c r="AD98" s="123"/>
      <c r="AE98" s="123"/>
      <c r="AF98" s="123"/>
      <c r="AG98" s="123"/>
      <c r="AH98" s="123"/>
      <c r="AI98" s="123"/>
      <c r="AJ98" s="123"/>
    </row>
  </sheetData>
  <mergeCells count="51">
    <mergeCell ref="D28:H28"/>
    <mergeCell ref="C29:F29"/>
    <mergeCell ref="C30:D30"/>
    <mergeCell ref="E30:F30"/>
    <mergeCell ref="G30:G32"/>
    <mergeCell ref="C31:D31"/>
    <mergeCell ref="E31:F31"/>
    <mergeCell ref="C32:D32"/>
    <mergeCell ref="E32:F32"/>
    <mergeCell ref="D22:H22"/>
    <mergeCell ref="D23:H23"/>
    <mergeCell ref="D24:H24"/>
    <mergeCell ref="D25:H25"/>
    <mergeCell ref="D26:H26"/>
    <mergeCell ref="C34:O34"/>
    <mergeCell ref="I35:O35"/>
    <mergeCell ref="N5:O5"/>
    <mergeCell ref="D12:H12"/>
    <mergeCell ref="B3:O4"/>
    <mergeCell ref="D27:H27"/>
    <mergeCell ref="B13:B32"/>
    <mergeCell ref="D13:H13"/>
    <mergeCell ref="D14:H14"/>
    <mergeCell ref="D15:H15"/>
    <mergeCell ref="D16:H16"/>
    <mergeCell ref="D17:H17"/>
    <mergeCell ref="D18:H18"/>
    <mergeCell ref="D19:H19"/>
    <mergeCell ref="D20:H20"/>
    <mergeCell ref="D21:H21"/>
    <mergeCell ref="D37:E37"/>
    <mergeCell ref="D38:E38"/>
    <mergeCell ref="D39:E39"/>
    <mergeCell ref="D35:E35"/>
    <mergeCell ref="D36:E36"/>
    <mergeCell ref="D43:E43"/>
    <mergeCell ref="D44:E44"/>
    <mergeCell ref="D45:E45"/>
    <mergeCell ref="D40:E40"/>
    <mergeCell ref="D41:E41"/>
    <mergeCell ref="D42:E42"/>
    <mergeCell ref="I45:O45"/>
    <mergeCell ref="I36:O36"/>
    <mergeCell ref="I37:O37"/>
    <mergeCell ref="I38:O38"/>
    <mergeCell ref="I39:O39"/>
    <mergeCell ref="I40:O40"/>
    <mergeCell ref="I41:O41"/>
    <mergeCell ref="I42:O42"/>
    <mergeCell ref="I43:O43"/>
    <mergeCell ref="I44:O44"/>
  </mergeCells>
  <phoneticPr fontId="33" type="noConversion"/>
  <conditionalFormatting sqref="C13:D15 M13:O15 I13:I20 E14:H15 N16:O16 M16:M20 D16:H21 C16:C28 N17 N18:O20 I26 M26:N26 D26:H27 M27">
    <cfRule type="expression" dxfId="55" priority="70" stopIfTrue="1">
      <formula>($M$9="Non-Automotive")</formula>
    </cfRule>
  </conditionalFormatting>
  <conditionalFormatting sqref="E30:F30">
    <cfRule type="containsText" dxfId="51" priority="1" operator="containsText" text="Conditional Approved">
      <formula>NOT(ISERROR(SEARCH("Conditional Approved",E30)))</formula>
    </cfRule>
    <cfRule type="containsText" dxfId="50" priority="2" operator="containsText" text="Rejected">
      <formula>NOT(ISERROR(SEARCH("Rejected",E30)))</formula>
    </cfRule>
    <cfRule type="containsText" dxfId="49" priority="3" operator="containsText" text="Approved">
      <formula>NOT(ISERROR(SEARCH("Approved",E30)))</formula>
    </cfRule>
    <cfRule type="containsText" dxfId="48" priority="4" operator="containsText" text="Completed">
      <formula>NOT(ISERROR(SEARCH("Completed",E30)))</formula>
    </cfRule>
    <cfRule type="containsText" dxfId="47" priority="5" operator="containsText" text="Launched">
      <formula>NOT(ISERROR(SEARCH("Launched",E30)))</formula>
    </cfRule>
    <cfRule type="containsText" dxfId="46" priority="6" operator="containsText" text="Not started">
      <formula>NOT(ISERROR(SEARCH("Not started",E30)))</formula>
    </cfRule>
  </conditionalFormatting>
  <conditionalFormatting sqref="J13:J28">
    <cfRule type="containsText" dxfId="45" priority="18" operator="containsText" text="Rejected">
      <formula>NOT(ISERROR(SEARCH("Rejected",J13)))</formula>
    </cfRule>
    <cfRule type="containsText" dxfId="44" priority="19" operator="containsText" text="Approved">
      <formula>NOT(ISERROR(SEARCH("Approved",J13)))</formula>
    </cfRule>
    <cfRule type="containsText" dxfId="43" priority="20" operator="containsText" text="Under Review">
      <formula>NOT(ISERROR(SEARCH("Under Review",J13)))</formula>
    </cfRule>
    <cfRule type="containsText" dxfId="42" priority="21" operator="containsText" text="Done">
      <formula>NOT(ISERROR(SEARCH("Done",J13)))</formula>
    </cfRule>
    <cfRule type="containsText" dxfId="41" priority="22" operator="containsText" text="Doing">
      <formula>NOT(ISERROR(SEARCH("Doing",J13)))</formula>
    </cfRule>
    <cfRule type="containsText" dxfId="40" priority="23" operator="containsText" text="Pending">
      <formula>NOT(ISERROR(SEARCH("Pending",J13)))</formula>
    </cfRule>
    <cfRule type="colorScale" priority="24">
      <colorScale>
        <cfvo type="min"/>
        <cfvo type="percentile" val="50"/>
        <cfvo type="max"/>
        <color rgb="FFF8696B"/>
        <color rgb="FFFFEB84"/>
        <color rgb="FF63BE7B"/>
      </colorScale>
    </cfRule>
  </conditionalFormatting>
  <dataValidations count="1">
    <dataValidation allowBlank="1" showInputMessage="1" showErrorMessage="1" sqref="M5:M11 M2 M33 M46:M1048576" xr:uid="{76A486C2-4E4C-44CD-B319-4D8164003FF6}"/>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7" stopIfTrue="1" operator="containsText" id="{AFD10654-B07F-41D0-A95D-884BACF696A0}">
            <xm:f>NOT(ISERROR(SEARCH($Z$4,E30)))</xm:f>
            <xm:f>$Z$4</xm:f>
            <x14:dxf>
              <fill>
                <patternFill>
                  <bgColor rgb="FFFFFF99"/>
                </patternFill>
              </fill>
            </x14:dxf>
          </x14:cfRule>
          <x14:cfRule type="containsText" priority="8" stopIfTrue="1" operator="containsText" id="{079C5479-D6C0-44F6-8F20-39219B4970D4}">
            <xm:f>NOT(ISERROR(SEARCH($Z$3,E30)))</xm:f>
            <xm:f>$Z$3</xm:f>
            <x14:dxf>
              <fill>
                <patternFill>
                  <bgColor rgb="FFFFCCCC"/>
                </patternFill>
              </fill>
            </x14:dxf>
          </x14:cfRule>
          <x14:cfRule type="containsText" priority="9" stopIfTrue="1" operator="containsText" id="{2D2419B0-A403-4517-8026-78982E08169D}">
            <xm:f>NOT(ISERROR(SEARCH(#REF!,E30)))</xm:f>
            <xm:f>#REF!</xm:f>
            <x14:dxf>
              <fill>
                <patternFill>
                  <bgColor theme="9" tint="0.39994506668294322"/>
                </patternFill>
              </fill>
            </x14:dxf>
          </x14:cfRule>
          <xm:sqref>E30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C2F89FC-6F3D-4542-AE34-8C7894C0407F}">
          <x14:formula1>
            <xm:f>'1. Feasibility'!$Q$3:$Q$8</xm:f>
          </x14:formula1>
          <xm:sqref>J13:J28</xm:sqref>
        </x14:dataValidation>
        <x14:dataValidation type="list" allowBlank="1" showInputMessage="1" showErrorMessage="1" xr:uid="{5D5C995F-7E37-4C00-9A15-2E8510EC68FA}">
          <x14:formula1>
            <xm:f>'0.APQP GRC'!$Y$3:$Y$8</xm:f>
          </x14:formula1>
          <xm:sqref>E30:F30</xm:sqref>
        </x14:dataValidation>
        <x14:dataValidation type="list" allowBlank="1" showInputMessage="1" showErrorMessage="1" xr:uid="{804BF77A-2C7E-444D-9D39-897B220D2698}">
          <x14:formula1>
            <xm:f>'1. Feasibility'!$Y$4:$Y$5</xm:f>
          </x14:formula1>
          <xm:sqref>H36:H45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8EB3-F171-4D82-B6C4-2FFAC6A6DCFC}">
  <sheetPr codeName="Hoja8">
    <outlinePr summaryBelow="0" summaryRight="0"/>
    <pageSetUpPr fitToPage="1"/>
  </sheetPr>
  <dimension ref="A1:AT102"/>
  <sheetViews>
    <sheetView showGridLines="0" topLeftCell="A17" zoomScale="60" zoomScaleNormal="60" zoomScaleSheetLayoutView="40" zoomScalePageLayoutView="55" workbookViewId="0">
      <selection activeCell="D14" sqref="D14:H14"/>
    </sheetView>
  </sheetViews>
  <sheetFormatPr baseColWidth="10" defaultColWidth="0" defaultRowHeight="0" customHeight="1" zeroHeight="1" outlineLevelRow="1" outlineLevelCol="1" x14ac:dyDescent="0.45"/>
  <cols>
    <col min="1" max="1" width="4.453125" style="3" customWidth="1"/>
    <col min="2" max="2" width="10.54296875" style="346" customWidth="1"/>
    <col min="3" max="5" width="10" style="346" customWidth="1"/>
    <col min="6" max="6" width="12.1796875" style="346" customWidth="1"/>
    <col min="7" max="7" width="26.81640625" style="346" customWidth="1"/>
    <col min="8" max="8" width="21.81640625" style="346" customWidth="1"/>
    <col min="9" max="9" width="48.1796875" style="346" customWidth="1" outlineLevel="1"/>
    <col min="10" max="10" width="21" style="346" customWidth="1" collapsed="1"/>
    <col min="11" max="12" width="18.81640625" style="346" customWidth="1"/>
    <col min="13" max="13" width="23" style="346" customWidth="1"/>
    <col min="14" max="14" width="18.1796875" style="346" customWidth="1" outlineLevel="1"/>
    <col min="15" max="15" width="75.54296875" style="356" customWidth="1" outlineLevel="1"/>
    <col min="16" max="16" width="4.1796875" style="3" customWidth="1" collapsed="1"/>
    <col min="17" max="17" width="20.1796875" style="123" hidden="1" customWidth="1"/>
    <col min="18" max="18" width="12.54296875" style="123" hidden="1" customWidth="1"/>
    <col min="19" max="23" width="11.54296875" style="123" hidden="1" customWidth="1"/>
    <col min="24" max="46" width="0" style="123" hidden="1" customWidth="1"/>
    <col min="47" max="16384" width="11.54296875" style="123" hidden="1"/>
  </cols>
  <sheetData>
    <row r="1" spans="2:25" ht="15" customHeight="1" x14ac:dyDescent="0.45"/>
    <row r="2" spans="2:25" ht="15" customHeight="1" thickBot="1" x14ac:dyDescent="0.5"/>
    <row r="3" spans="2:25" ht="15" customHeight="1" x14ac:dyDescent="0.3">
      <c r="B3" s="748" t="s">
        <v>452</v>
      </c>
      <c r="C3" s="702"/>
      <c r="D3" s="702"/>
      <c r="E3" s="702"/>
      <c r="F3" s="702"/>
      <c r="G3" s="702"/>
      <c r="H3" s="702"/>
      <c r="I3" s="702"/>
      <c r="J3" s="702"/>
      <c r="K3" s="702"/>
      <c r="L3" s="702"/>
      <c r="M3" s="702"/>
      <c r="N3" s="702"/>
      <c r="O3" s="749"/>
      <c r="Q3" s="123" t="s">
        <v>3</v>
      </c>
      <c r="R3" s="123" t="s">
        <v>4</v>
      </c>
      <c r="S3" s="123" t="s">
        <v>5</v>
      </c>
      <c r="U3" s="123" t="s">
        <v>6</v>
      </c>
      <c r="W3" s="123" t="s">
        <v>6</v>
      </c>
    </row>
    <row r="4" spans="2:25" ht="54" customHeight="1" thickBot="1" x14ac:dyDescent="0.35">
      <c r="B4" s="750"/>
      <c r="C4" s="703"/>
      <c r="D4" s="703"/>
      <c r="E4" s="703"/>
      <c r="F4" s="703"/>
      <c r="G4" s="703"/>
      <c r="H4" s="703"/>
      <c r="I4" s="703"/>
      <c r="J4" s="703"/>
      <c r="K4" s="703"/>
      <c r="L4" s="703"/>
      <c r="M4" s="703"/>
      <c r="N4" s="703"/>
      <c r="O4" s="751"/>
      <c r="Q4" s="123" t="s">
        <v>8</v>
      </c>
      <c r="R4" s="123" t="s">
        <v>9</v>
      </c>
      <c r="S4" s="123" t="s">
        <v>10</v>
      </c>
      <c r="U4" s="123" t="s">
        <v>11</v>
      </c>
      <c r="W4" s="123" t="s">
        <v>12</v>
      </c>
    </row>
    <row r="5" spans="2:25" ht="15" customHeight="1" x14ac:dyDescent="0.3">
      <c r="B5" s="357"/>
      <c r="C5" s="344"/>
      <c r="D5" s="344"/>
      <c r="E5" s="344"/>
      <c r="F5" s="344"/>
      <c r="G5" s="344"/>
      <c r="H5" s="344"/>
      <c r="I5" s="345"/>
      <c r="J5" s="425"/>
      <c r="K5" s="425"/>
      <c r="L5" s="425"/>
      <c r="M5" s="425"/>
      <c r="N5" s="771"/>
      <c r="O5" s="772"/>
      <c r="R5" s="123" t="s">
        <v>14</v>
      </c>
      <c r="U5" s="123" t="s">
        <v>15</v>
      </c>
      <c r="W5" s="123" t="s">
        <v>16</v>
      </c>
    </row>
    <row r="6" spans="2:25" ht="15" customHeight="1" x14ac:dyDescent="0.45">
      <c r="B6" s="358"/>
      <c r="C6" s="348"/>
      <c r="D6" s="348"/>
      <c r="H6" s="347" t="s">
        <v>17</v>
      </c>
      <c r="I6" s="408" t="str">
        <f>_xlfn.CONCAT('0.APQP GRC'!D6:F6)</f>
        <v>Name Surname</v>
      </c>
      <c r="K6" s="349" t="s">
        <v>19</v>
      </c>
      <c r="L6" s="349"/>
      <c r="M6" s="423" t="str">
        <f>_xlfn.CONCAT('0.APQP GRC'!H6,)</f>
        <v/>
      </c>
      <c r="N6" s="423"/>
      <c r="O6" s="432"/>
      <c r="W6" s="123" t="s">
        <v>21</v>
      </c>
    </row>
    <row r="7" spans="2:25" ht="15" customHeight="1" x14ac:dyDescent="0.45">
      <c r="B7" s="358"/>
      <c r="C7" s="348"/>
      <c r="D7" s="348"/>
      <c r="H7" s="347" t="s">
        <v>22</v>
      </c>
      <c r="I7" s="408" t="str">
        <f>_xlfn.CONCAT('0.APQP GRC'!D7:F7)</f>
        <v>X-12345-678</v>
      </c>
      <c r="K7" s="350" t="s">
        <v>24</v>
      </c>
      <c r="L7" s="350"/>
      <c r="M7" s="423" t="str">
        <f>_xlfn.CONCAT('0.APQP GRC'!H7,)</f>
        <v/>
      </c>
      <c r="N7" s="423"/>
      <c r="O7" s="432"/>
      <c r="P7" s="122"/>
      <c r="Q7" s="124"/>
      <c r="R7" s="124"/>
      <c r="S7" s="124"/>
      <c r="T7" s="124"/>
      <c r="V7" s="124"/>
      <c r="W7" s="123" t="s">
        <v>26</v>
      </c>
      <c r="X7" s="124"/>
      <c r="Y7" s="124"/>
    </row>
    <row r="8" spans="2:25" ht="15" customHeight="1" x14ac:dyDescent="0.45">
      <c r="B8" s="358"/>
      <c r="C8" s="348"/>
      <c r="D8" s="348"/>
      <c r="H8" s="347" t="s">
        <v>27</v>
      </c>
      <c r="I8" s="408" t="str">
        <f>_xlfn.CONCAT('0.APQP GRC'!D8:F8)</f>
        <v>RT23423AA</v>
      </c>
      <c r="K8" s="351" t="s">
        <v>426</v>
      </c>
      <c r="L8" s="351"/>
      <c r="M8" s="423" t="str">
        <f>_xlfn.CONCAT('0.APQP GRC'!H8,)</f>
        <v>Name of the customer</v>
      </c>
      <c r="N8" s="423"/>
      <c r="O8" s="432"/>
      <c r="P8" s="122"/>
      <c r="Q8" s="124"/>
      <c r="R8" s="124"/>
      <c r="S8" s="124"/>
      <c r="T8" s="124"/>
      <c r="V8" s="124"/>
      <c r="W8" s="124"/>
      <c r="X8" s="124"/>
      <c r="Y8" s="124"/>
    </row>
    <row r="9" spans="2:25" ht="15" customHeight="1" x14ac:dyDescent="0.45">
      <c r="B9" s="358"/>
      <c r="C9" s="348"/>
      <c r="D9" s="348"/>
      <c r="H9" s="347" t="s">
        <v>31</v>
      </c>
      <c r="I9" s="408" t="str">
        <f>_xlfn.CONCAT('0.APQP GRC'!D9:F9)</f>
        <v/>
      </c>
      <c r="K9" s="351" t="s">
        <v>32</v>
      </c>
      <c r="L9" s="351"/>
      <c r="M9" s="423" t="str">
        <f>_xlfn.CONCAT('0.APQP GRC'!H9,)</f>
        <v/>
      </c>
      <c r="N9" s="423"/>
      <c r="O9" s="432"/>
      <c r="P9" s="122"/>
      <c r="Q9" s="124"/>
      <c r="R9" s="124"/>
      <c r="S9" s="124"/>
      <c r="T9" s="124"/>
      <c r="U9" s="124"/>
      <c r="V9" s="124"/>
      <c r="W9" s="124"/>
      <c r="X9" s="124"/>
      <c r="Y9" s="124"/>
    </row>
    <row r="10" spans="2:25" ht="15" customHeight="1" x14ac:dyDescent="0.45">
      <c r="B10" s="358"/>
      <c r="C10" s="348"/>
      <c r="D10" s="348"/>
      <c r="H10" s="347" t="s">
        <v>33</v>
      </c>
      <c r="I10" s="408" t="str">
        <f>_xlfn.CONCAT('0.APQP GRC'!D10:F10)</f>
        <v/>
      </c>
      <c r="K10" s="351" t="s">
        <v>34</v>
      </c>
      <c r="L10" s="351"/>
      <c r="M10" s="423" t="str">
        <f>_xlfn.CONCAT('0.APQP GRC'!H10,)</f>
        <v/>
      </c>
      <c r="N10" s="423"/>
      <c r="O10" s="432"/>
      <c r="P10" s="122"/>
      <c r="Q10" s="124"/>
      <c r="R10" s="124"/>
      <c r="S10" s="124"/>
      <c r="T10" s="124"/>
      <c r="U10" s="124"/>
      <c r="V10" s="124"/>
      <c r="W10" s="124"/>
      <c r="X10" s="124"/>
      <c r="Y10" s="124"/>
    </row>
    <row r="11" spans="2:25" ht="19" thickBot="1" x14ac:dyDescent="0.5">
      <c r="B11" s="358"/>
      <c r="C11" s="345"/>
      <c r="D11" s="345"/>
      <c r="F11" s="345"/>
      <c r="G11" s="345"/>
      <c r="H11" s="345"/>
      <c r="I11" s="347"/>
      <c r="J11" s="433"/>
      <c r="K11" s="345"/>
      <c r="L11" s="345"/>
      <c r="M11" s="345"/>
      <c r="N11" s="434"/>
      <c r="O11" s="432"/>
      <c r="P11" s="122"/>
      <c r="Q11" s="124"/>
      <c r="R11" s="124"/>
      <c r="S11" s="124"/>
      <c r="T11" s="124"/>
      <c r="U11" s="124"/>
      <c r="V11" s="124"/>
      <c r="W11" s="124"/>
      <c r="X11" s="124"/>
      <c r="Y11" s="124"/>
    </row>
    <row r="12" spans="2:25" ht="48.5" thickBot="1" x14ac:dyDescent="0.35">
      <c r="B12" s="485">
        <v>3</v>
      </c>
      <c r="C12" s="486" t="s">
        <v>427</v>
      </c>
      <c r="D12" s="747" t="s">
        <v>428</v>
      </c>
      <c r="E12" s="747"/>
      <c r="F12" s="747"/>
      <c r="G12" s="747"/>
      <c r="H12" s="747"/>
      <c r="I12" s="330" t="s">
        <v>36</v>
      </c>
      <c r="J12" s="331" t="s">
        <v>37</v>
      </c>
      <c r="K12" s="420" t="s">
        <v>38</v>
      </c>
      <c r="L12" s="517" t="s">
        <v>453</v>
      </c>
      <c r="M12" s="334" t="s">
        <v>39</v>
      </c>
      <c r="N12" s="332" t="s">
        <v>40</v>
      </c>
      <c r="O12" s="335" t="s">
        <v>41</v>
      </c>
    </row>
    <row r="13" spans="2:25" ht="99" outlineLevel="1" x14ac:dyDescent="0.3">
      <c r="B13" s="760" t="s">
        <v>254</v>
      </c>
      <c r="C13" s="379" t="s">
        <v>255</v>
      </c>
      <c r="D13" s="792" t="s">
        <v>256</v>
      </c>
      <c r="E13" s="792"/>
      <c r="F13" s="792"/>
      <c r="G13" s="792"/>
      <c r="H13" s="792"/>
      <c r="I13" s="380" t="s">
        <v>454</v>
      </c>
      <c r="J13" s="503" t="s">
        <v>422</v>
      </c>
      <c r="K13" s="381"/>
      <c r="L13" s="381"/>
      <c r="M13" s="382"/>
      <c r="N13" s="383"/>
      <c r="O13" s="470" t="s">
        <v>149</v>
      </c>
    </row>
    <row r="14" spans="2:25" ht="165" outlineLevel="1" x14ac:dyDescent="0.3">
      <c r="B14" s="761"/>
      <c r="C14" s="384" t="s">
        <v>261</v>
      </c>
      <c r="D14" s="780" t="s">
        <v>262</v>
      </c>
      <c r="E14" s="780"/>
      <c r="F14" s="780"/>
      <c r="G14" s="780"/>
      <c r="H14" s="780"/>
      <c r="I14" s="385" t="s">
        <v>263</v>
      </c>
      <c r="J14" s="503" t="s">
        <v>422</v>
      </c>
      <c r="K14" s="386"/>
      <c r="L14" s="386"/>
      <c r="M14" s="367"/>
      <c r="N14" s="353"/>
      <c r="O14" s="428" t="s">
        <v>264</v>
      </c>
    </row>
    <row r="15" spans="2:25" ht="115.5" outlineLevel="1" x14ac:dyDescent="0.3">
      <c r="B15" s="761"/>
      <c r="C15" s="384" t="s">
        <v>267</v>
      </c>
      <c r="D15" s="780" t="s">
        <v>268</v>
      </c>
      <c r="E15" s="780"/>
      <c r="F15" s="780"/>
      <c r="G15" s="780"/>
      <c r="H15" s="780"/>
      <c r="I15" s="385" t="s">
        <v>269</v>
      </c>
      <c r="J15" s="503" t="s">
        <v>422</v>
      </c>
      <c r="K15" s="386"/>
      <c r="L15" s="386"/>
      <c r="M15" s="367"/>
      <c r="N15" s="387"/>
      <c r="O15" s="429" t="s">
        <v>270</v>
      </c>
    </row>
    <row r="16" spans="2:25" ht="132" outlineLevel="1" x14ac:dyDescent="0.3">
      <c r="B16" s="761"/>
      <c r="C16" s="384" t="s">
        <v>274</v>
      </c>
      <c r="D16" s="766" t="s">
        <v>275</v>
      </c>
      <c r="E16" s="780"/>
      <c r="F16" s="780"/>
      <c r="G16" s="780"/>
      <c r="H16" s="780"/>
      <c r="I16" s="341" t="s">
        <v>455</v>
      </c>
      <c r="J16" s="503" t="s">
        <v>422</v>
      </c>
      <c r="K16" s="386"/>
      <c r="L16" s="386"/>
      <c r="M16" s="367"/>
      <c r="N16" s="387"/>
      <c r="O16" s="429" t="s">
        <v>277</v>
      </c>
    </row>
    <row r="17" spans="1:36" ht="148.5" outlineLevel="1" x14ac:dyDescent="0.3">
      <c r="B17" s="761"/>
      <c r="C17" s="384" t="s">
        <v>281</v>
      </c>
      <c r="D17" s="766" t="s">
        <v>401</v>
      </c>
      <c r="E17" s="780"/>
      <c r="F17" s="780"/>
      <c r="G17" s="780"/>
      <c r="H17" s="780"/>
      <c r="I17" s="341" t="s">
        <v>456</v>
      </c>
      <c r="J17" s="503" t="s">
        <v>422</v>
      </c>
      <c r="K17" s="386"/>
      <c r="L17" s="386"/>
      <c r="M17" s="367"/>
      <c r="N17" s="387"/>
      <c r="O17" s="429" t="s">
        <v>284</v>
      </c>
    </row>
    <row r="18" spans="1:36" ht="132" outlineLevel="1" x14ac:dyDescent="0.3">
      <c r="B18" s="761"/>
      <c r="C18" s="384" t="s">
        <v>290</v>
      </c>
      <c r="D18" s="780" t="s">
        <v>291</v>
      </c>
      <c r="E18" s="780"/>
      <c r="F18" s="780"/>
      <c r="G18" s="780"/>
      <c r="H18" s="780"/>
      <c r="I18" s="385" t="s">
        <v>292</v>
      </c>
      <c r="J18" s="503" t="s">
        <v>422</v>
      </c>
      <c r="K18" s="386"/>
      <c r="L18" s="386"/>
      <c r="M18" s="367"/>
      <c r="N18" s="387"/>
      <c r="O18" s="429" t="s">
        <v>293</v>
      </c>
    </row>
    <row r="19" spans="1:36" s="125" customFormat="1" ht="198" outlineLevel="1" x14ac:dyDescent="0.3">
      <c r="A19" s="78"/>
      <c r="B19" s="761"/>
      <c r="C19" s="384" t="s">
        <v>297</v>
      </c>
      <c r="D19" s="766" t="s">
        <v>402</v>
      </c>
      <c r="E19" s="780"/>
      <c r="F19" s="780"/>
      <c r="G19" s="780"/>
      <c r="H19" s="780"/>
      <c r="I19" s="341" t="s">
        <v>457</v>
      </c>
      <c r="J19" s="503" t="s">
        <v>422</v>
      </c>
      <c r="K19" s="388"/>
      <c r="L19" s="388"/>
      <c r="M19" s="373"/>
      <c r="N19" s="389"/>
      <c r="O19" s="429" t="s">
        <v>300</v>
      </c>
      <c r="P19" s="78"/>
    </row>
    <row r="20" spans="1:36" s="125" customFormat="1" ht="172" outlineLevel="1" x14ac:dyDescent="0.3">
      <c r="A20" s="78"/>
      <c r="B20" s="761"/>
      <c r="C20" s="384" t="s">
        <v>304</v>
      </c>
      <c r="D20" s="766" t="s">
        <v>403</v>
      </c>
      <c r="E20" s="793"/>
      <c r="F20" s="793"/>
      <c r="G20" s="793"/>
      <c r="H20" s="793"/>
      <c r="I20" s="341" t="s">
        <v>458</v>
      </c>
      <c r="J20" s="503" t="s">
        <v>422</v>
      </c>
      <c r="K20" s="388"/>
      <c r="L20" s="388"/>
      <c r="M20" s="373"/>
      <c r="N20" s="390"/>
      <c r="O20" s="430" t="s">
        <v>307</v>
      </c>
      <c r="P20" s="78"/>
    </row>
    <row r="21" spans="1:36" s="125" customFormat="1" ht="198.75" customHeight="1" outlineLevel="1" x14ac:dyDescent="0.3">
      <c r="A21" s="78"/>
      <c r="B21" s="761"/>
      <c r="C21" s="384" t="s">
        <v>312</v>
      </c>
      <c r="D21" s="766" t="s">
        <v>406</v>
      </c>
      <c r="E21" s="793"/>
      <c r="F21" s="793"/>
      <c r="G21" s="793"/>
      <c r="H21" s="793"/>
      <c r="I21" s="341" t="s">
        <v>459</v>
      </c>
      <c r="J21" s="503" t="s">
        <v>422</v>
      </c>
      <c r="K21" s="388"/>
      <c r="L21" s="388"/>
      <c r="M21" s="373"/>
      <c r="N21" s="390"/>
      <c r="O21" s="430" t="s">
        <v>349</v>
      </c>
      <c r="P21" s="78"/>
    </row>
    <row r="22" spans="1:36" s="125" customFormat="1" ht="264" outlineLevel="1" x14ac:dyDescent="0.3">
      <c r="A22" s="78"/>
      <c r="B22" s="761"/>
      <c r="C22" s="384" t="s">
        <v>320</v>
      </c>
      <c r="D22" s="766" t="s">
        <v>408</v>
      </c>
      <c r="E22" s="793"/>
      <c r="F22" s="793"/>
      <c r="G22" s="793"/>
      <c r="H22" s="793"/>
      <c r="I22" s="341" t="s">
        <v>460</v>
      </c>
      <c r="J22" s="503" t="s">
        <v>422</v>
      </c>
      <c r="K22" s="388"/>
      <c r="L22" s="388"/>
      <c r="M22" s="373"/>
      <c r="N22" s="390"/>
      <c r="O22" s="430" t="s">
        <v>323</v>
      </c>
      <c r="P22" s="78"/>
    </row>
    <row r="23" spans="1:36" s="125" customFormat="1" ht="150.5" outlineLevel="1" x14ac:dyDescent="0.3">
      <c r="A23" s="78"/>
      <c r="B23" s="761"/>
      <c r="C23" s="384" t="s">
        <v>329</v>
      </c>
      <c r="D23" s="766" t="s">
        <v>461</v>
      </c>
      <c r="E23" s="780"/>
      <c r="F23" s="780"/>
      <c r="G23" s="780"/>
      <c r="H23" s="780"/>
      <c r="I23" s="341" t="s">
        <v>462</v>
      </c>
      <c r="J23" s="503" t="s">
        <v>422</v>
      </c>
      <c r="K23" s="388"/>
      <c r="L23" s="388"/>
      <c r="M23" s="373"/>
      <c r="N23" s="390"/>
      <c r="O23" s="430" t="s">
        <v>332</v>
      </c>
      <c r="P23" s="78"/>
    </row>
    <row r="24" spans="1:36" s="125" customFormat="1" ht="132" outlineLevel="1" x14ac:dyDescent="0.3">
      <c r="A24" s="78"/>
      <c r="B24" s="761"/>
      <c r="C24" s="384" t="s">
        <v>338</v>
      </c>
      <c r="D24" s="766" t="s">
        <v>411</v>
      </c>
      <c r="E24" s="793"/>
      <c r="F24" s="793"/>
      <c r="G24" s="793"/>
      <c r="H24" s="793"/>
      <c r="I24" s="341" t="s">
        <v>463</v>
      </c>
      <c r="J24" s="503" t="s">
        <v>422</v>
      </c>
      <c r="K24" s="388"/>
      <c r="L24" s="388"/>
      <c r="M24" s="373"/>
      <c r="N24" s="390"/>
      <c r="O24" s="430" t="s">
        <v>341</v>
      </c>
      <c r="P24" s="78"/>
    </row>
    <row r="25" spans="1:36" s="125" customFormat="1" ht="181.5" outlineLevel="1" x14ac:dyDescent="0.3">
      <c r="A25" s="78"/>
      <c r="B25" s="761"/>
      <c r="C25" s="384" t="s">
        <v>346</v>
      </c>
      <c r="D25" s="766" t="s">
        <v>347</v>
      </c>
      <c r="E25" s="780"/>
      <c r="F25" s="780"/>
      <c r="G25" s="780"/>
      <c r="H25" s="780"/>
      <c r="I25" s="341" t="s">
        <v>464</v>
      </c>
      <c r="J25" s="503" t="s">
        <v>422</v>
      </c>
      <c r="K25" s="388"/>
      <c r="L25" s="388"/>
      <c r="M25" s="373"/>
      <c r="N25" s="390"/>
      <c r="O25" s="430" t="s">
        <v>349</v>
      </c>
      <c r="P25" s="78"/>
    </row>
    <row r="26" spans="1:36" s="125" customFormat="1" ht="132" outlineLevel="1" x14ac:dyDescent="0.3">
      <c r="A26" s="78"/>
      <c r="B26" s="761"/>
      <c r="C26" s="384" t="s">
        <v>351</v>
      </c>
      <c r="D26" s="780" t="s">
        <v>412</v>
      </c>
      <c r="E26" s="780"/>
      <c r="F26" s="780"/>
      <c r="G26" s="780"/>
      <c r="H26" s="780"/>
      <c r="I26" s="391" t="s">
        <v>85</v>
      </c>
      <c r="J26" s="503" t="s">
        <v>422</v>
      </c>
      <c r="K26" s="388"/>
      <c r="L26" s="388"/>
      <c r="M26" s="373"/>
      <c r="N26" s="392"/>
      <c r="O26" s="429" t="s">
        <v>231</v>
      </c>
      <c r="P26" s="78"/>
    </row>
    <row r="27" spans="1:36" ht="83" outlineLevel="1" thickBot="1" x14ac:dyDescent="0.35">
      <c r="B27" s="761"/>
      <c r="C27" s="393" t="s">
        <v>353</v>
      </c>
      <c r="D27" s="791" t="s">
        <v>354</v>
      </c>
      <c r="E27" s="791"/>
      <c r="F27" s="791"/>
      <c r="G27" s="791"/>
      <c r="H27" s="791"/>
      <c r="I27" s="394" t="s">
        <v>355</v>
      </c>
      <c r="J27" s="512" t="s">
        <v>422</v>
      </c>
      <c r="K27" s="396"/>
      <c r="L27" s="396"/>
      <c r="M27" s="395"/>
      <c r="N27" s="397"/>
      <c r="O27" s="471" t="s">
        <v>356</v>
      </c>
    </row>
    <row r="28" spans="1:36" ht="57.65" customHeight="1" outlineLevel="1" thickBot="1" x14ac:dyDescent="0.35">
      <c r="B28" s="761"/>
      <c r="C28" s="785" t="s">
        <v>122</v>
      </c>
      <c r="D28" s="786"/>
      <c r="E28" s="786"/>
      <c r="F28" s="787"/>
      <c r="G28" s="475" t="s">
        <v>123</v>
      </c>
      <c r="H28" s="336"/>
      <c r="I28" s="336"/>
      <c r="J28" s="447"/>
      <c r="K28" s="336"/>
      <c r="L28" s="336"/>
      <c r="M28" s="336"/>
      <c r="N28" s="336"/>
      <c r="O28" s="435"/>
    </row>
    <row r="29" spans="1:36" ht="15" customHeight="1" outlineLevel="1" x14ac:dyDescent="0.3">
      <c r="B29" s="761"/>
      <c r="C29" s="668" t="s">
        <v>124</v>
      </c>
      <c r="D29" s="669"/>
      <c r="E29" s="576" t="s">
        <v>2</v>
      </c>
      <c r="F29" s="577"/>
      <c r="G29" s="794" t="s">
        <v>134</v>
      </c>
      <c r="H29" s="436"/>
      <c r="I29" s="437"/>
      <c r="J29" s="437"/>
      <c r="K29" s="437"/>
      <c r="L29" s="437"/>
      <c r="M29" s="438"/>
      <c r="N29" s="437"/>
      <c r="O29" s="439"/>
    </row>
    <row r="30" spans="1:36" ht="15" customHeight="1" outlineLevel="1" x14ac:dyDescent="0.3">
      <c r="B30" s="761"/>
      <c r="C30" s="677" t="s">
        <v>125</v>
      </c>
      <c r="D30" s="678"/>
      <c r="E30" s="679"/>
      <c r="F30" s="680"/>
      <c r="G30" s="795"/>
      <c r="H30" s="436"/>
      <c r="I30" s="437"/>
      <c r="J30" s="437"/>
      <c r="K30" s="437"/>
      <c r="L30" s="437"/>
      <c r="M30" s="437"/>
      <c r="N30" s="437"/>
      <c r="O30" s="439"/>
    </row>
    <row r="31" spans="1:36" ht="21" customHeight="1" outlineLevel="1" thickBot="1" x14ac:dyDescent="0.35">
      <c r="B31" s="762"/>
      <c r="C31" s="654" t="s">
        <v>126</v>
      </c>
      <c r="D31" s="655"/>
      <c r="E31" s="656"/>
      <c r="F31" s="657"/>
      <c r="G31" s="796"/>
      <c r="H31" s="401"/>
      <c r="I31" s="402"/>
      <c r="J31" s="402"/>
      <c r="K31" s="402"/>
      <c r="L31" s="402"/>
      <c r="M31" s="402"/>
      <c r="N31" s="402"/>
      <c r="O31" s="440"/>
    </row>
    <row r="32" spans="1:36" s="3" customFormat="1" ht="15" customHeight="1" thickBot="1" x14ac:dyDescent="0.5">
      <c r="B32" s="346"/>
      <c r="C32" s="346"/>
      <c r="D32" s="346"/>
      <c r="E32" s="346"/>
      <c r="F32" s="346"/>
      <c r="G32" s="346"/>
      <c r="H32" s="346"/>
      <c r="I32" s="346"/>
      <c r="J32" s="346"/>
      <c r="K32" s="346"/>
      <c r="L32" s="346"/>
      <c r="M32" s="346"/>
      <c r="N32" s="346"/>
      <c r="O32" s="356"/>
      <c r="Q32" s="123"/>
      <c r="R32" s="123"/>
      <c r="S32" s="123"/>
      <c r="T32" s="123"/>
      <c r="U32" s="123"/>
      <c r="V32" s="123"/>
      <c r="W32" s="123"/>
      <c r="X32" s="123"/>
      <c r="Y32" s="123"/>
      <c r="Z32" s="123"/>
      <c r="AA32" s="123"/>
      <c r="AB32" s="123"/>
      <c r="AC32" s="123"/>
      <c r="AD32" s="123"/>
      <c r="AE32" s="123"/>
      <c r="AF32" s="123"/>
      <c r="AG32" s="123"/>
      <c r="AH32" s="123"/>
      <c r="AI32" s="123"/>
      <c r="AJ32" s="123"/>
    </row>
    <row r="33" spans="2:37" ht="21.65" customHeight="1" thickTop="1" x14ac:dyDescent="0.3">
      <c r="B33" s="3"/>
      <c r="C33" s="724" t="s">
        <v>710</v>
      </c>
      <c r="D33" s="725"/>
      <c r="E33" s="725"/>
      <c r="F33" s="725"/>
      <c r="G33" s="725"/>
      <c r="H33" s="725"/>
      <c r="I33" s="725"/>
      <c r="J33" s="725"/>
      <c r="K33" s="725"/>
      <c r="L33" s="725"/>
      <c r="M33" s="725"/>
      <c r="N33" s="725"/>
      <c r="O33" s="726"/>
      <c r="Q33" s="3"/>
    </row>
    <row r="34" spans="2:37" s="527" customFormat="1" ht="20.5" customHeight="1" x14ac:dyDescent="0.35">
      <c r="C34" s="530" t="s">
        <v>427</v>
      </c>
      <c r="D34" s="768" t="s">
        <v>711</v>
      </c>
      <c r="E34" s="769"/>
      <c r="F34" s="531" t="s">
        <v>712</v>
      </c>
      <c r="G34" s="531" t="s">
        <v>715</v>
      </c>
      <c r="H34" s="531" t="s">
        <v>713</v>
      </c>
      <c r="I34" s="770" t="s">
        <v>714</v>
      </c>
      <c r="J34" s="728"/>
      <c r="K34" s="728"/>
      <c r="L34" s="728"/>
      <c r="M34" s="728"/>
      <c r="N34" s="728"/>
      <c r="O34" s="729"/>
      <c r="R34" s="528"/>
      <c r="S34" s="528"/>
      <c r="T34" s="528"/>
      <c r="U34" s="528"/>
      <c r="V34" s="528"/>
      <c r="W34" s="528"/>
      <c r="X34" s="528"/>
      <c r="Y34" s="528"/>
      <c r="Z34" s="528"/>
      <c r="AA34" s="528"/>
      <c r="AB34" s="528"/>
      <c r="AC34" s="528"/>
      <c r="AD34" s="528"/>
      <c r="AE34" s="528"/>
      <c r="AF34" s="528"/>
      <c r="AG34" s="528"/>
      <c r="AH34" s="528"/>
      <c r="AI34" s="528"/>
      <c r="AJ34" s="528"/>
      <c r="AK34" s="528"/>
    </row>
    <row r="35" spans="2:37" s="527" customFormat="1" ht="20.5" customHeight="1" x14ac:dyDescent="0.35">
      <c r="C35" s="529">
        <v>1</v>
      </c>
      <c r="D35" s="718"/>
      <c r="E35" s="767"/>
      <c r="F35" s="176"/>
      <c r="G35" s="176"/>
      <c r="H35" s="176"/>
      <c r="I35" s="718"/>
      <c r="J35" s="719"/>
      <c r="K35" s="719"/>
      <c r="L35" s="719"/>
      <c r="M35" s="719"/>
      <c r="N35" s="719"/>
      <c r="O35" s="720"/>
      <c r="R35" s="528"/>
      <c r="S35" s="528"/>
      <c r="T35" s="528"/>
      <c r="U35" s="528"/>
      <c r="V35" s="528"/>
      <c r="W35" s="528"/>
      <c r="X35" s="528"/>
      <c r="Y35" s="528"/>
      <c r="Z35" s="528"/>
      <c r="AA35" s="528"/>
      <c r="AB35" s="528"/>
      <c r="AC35" s="528"/>
      <c r="AD35" s="528"/>
      <c r="AE35" s="528"/>
      <c r="AF35" s="528"/>
      <c r="AG35" s="528"/>
      <c r="AH35" s="528"/>
      <c r="AI35" s="528"/>
      <c r="AJ35" s="528"/>
      <c r="AK35" s="528"/>
    </row>
    <row r="36" spans="2:37" s="527" customFormat="1" ht="20.5" customHeight="1" x14ac:dyDescent="0.35">
      <c r="C36" s="529">
        <v>2</v>
      </c>
      <c r="D36" s="718"/>
      <c r="E36" s="767"/>
      <c r="F36" s="176"/>
      <c r="G36" s="176"/>
      <c r="H36" s="176"/>
      <c r="I36" s="718"/>
      <c r="J36" s="719"/>
      <c r="K36" s="719"/>
      <c r="L36" s="719"/>
      <c r="M36" s="719"/>
      <c r="N36" s="719"/>
      <c r="O36" s="720"/>
      <c r="R36" s="528"/>
      <c r="S36" s="528"/>
      <c r="T36" s="528"/>
      <c r="U36" s="528"/>
      <c r="V36" s="528"/>
      <c r="W36" s="528"/>
      <c r="X36" s="528"/>
      <c r="Y36" s="528"/>
      <c r="Z36" s="528"/>
      <c r="AA36" s="528"/>
      <c r="AB36" s="528"/>
      <c r="AC36" s="528"/>
      <c r="AD36" s="528"/>
      <c r="AE36" s="528"/>
      <c r="AF36" s="528"/>
      <c r="AG36" s="528"/>
      <c r="AH36" s="528"/>
      <c r="AI36" s="528"/>
      <c r="AJ36" s="528"/>
      <c r="AK36" s="528"/>
    </row>
    <row r="37" spans="2:37" s="527" customFormat="1" ht="20.5" customHeight="1" x14ac:dyDescent="0.35">
      <c r="C37" s="529">
        <v>3</v>
      </c>
      <c r="D37" s="718"/>
      <c r="E37" s="767"/>
      <c r="F37" s="176"/>
      <c r="G37" s="176"/>
      <c r="H37" s="176"/>
      <c r="I37" s="718"/>
      <c r="J37" s="719"/>
      <c r="K37" s="719"/>
      <c r="L37" s="719"/>
      <c r="M37" s="719"/>
      <c r="N37" s="719"/>
      <c r="O37" s="720"/>
      <c r="R37" s="528"/>
      <c r="S37" s="528"/>
      <c r="T37" s="528"/>
      <c r="U37" s="528"/>
      <c r="V37" s="528"/>
      <c r="W37" s="528"/>
      <c r="X37" s="528"/>
      <c r="Y37" s="528"/>
      <c r="Z37" s="528"/>
      <c r="AA37" s="528"/>
      <c r="AB37" s="528"/>
      <c r="AC37" s="528"/>
      <c r="AD37" s="528"/>
      <c r="AE37" s="528"/>
      <c r="AF37" s="528"/>
      <c r="AG37" s="528"/>
      <c r="AH37" s="528"/>
      <c r="AI37" s="528"/>
      <c r="AJ37" s="528"/>
      <c r="AK37" s="528"/>
    </row>
    <row r="38" spans="2:37" s="527" customFormat="1" ht="20.5" customHeight="1" x14ac:dyDescent="0.35">
      <c r="C38" s="529">
        <v>4</v>
      </c>
      <c r="D38" s="718"/>
      <c r="E38" s="767"/>
      <c r="F38" s="176"/>
      <c r="G38" s="176"/>
      <c r="H38" s="176"/>
      <c r="I38" s="718"/>
      <c r="J38" s="719"/>
      <c r="K38" s="719"/>
      <c r="L38" s="719"/>
      <c r="M38" s="719"/>
      <c r="N38" s="719"/>
      <c r="O38" s="720"/>
      <c r="R38" s="528"/>
      <c r="S38" s="528"/>
      <c r="T38" s="528"/>
      <c r="U38" s="528"/>
      <c r="V38" s="528"/>
      <c r="W38" s="528"/>
      <c r="X38" s="528"/>
      <c r="Y38" s="528"/>
      <c r="Z38" s="528"/>
      <c r="AA38" s="528"/>
      <c r="AB38" s="528"/>
      <c r="AC38" s="528"/>
      <c r="AD38" s="528"/>
      <c r="AE38" s="528"/>
      <c r="AF38" s="528"/>
      <c r="AG38" s="528"/>
      <c r="AH38" s="528"/>
      <c r="AI38" s="528"/>
      <c r="AJ38" s="528"/>
      <c r="AK38" s="528"/>
    </row>
    <row r="39" spans="2:37" s="527" customFormat="1" ht="20.5" customHeight="1" x14ac:dyDescent="0.35">
      <c r="C39" s="529">
        <v>5</v>
      </c>
      <c r="D39" s="718"/>
      <c r="E39" s="767"/>
      <c r="F39" s="176"/>
      <c r="G39" s="176"/>
      <c r="I39" s="718"/>
      <c r="J39" s="719"/>
      <c r="K39" s="719"/>
      <c r="L39" s="719"/>
      <c r="M39" s="719"/>
      <c r="N39" s="719"/>
      <c r="O39" s="720"/>
      <c r="R39" s="528"/>
      <c r="S39" s="528"/>
      <c r="T39" s="528"/>
      <c r="U39" s="528"/>
      <c r="V39" s="528"/>
      <c r="W39" s="528"/>
      <c r="X39" s="528"/>
      <c r="Y39" s="528"/>
      <c r="Z39" s="528"/>
      <c r="AA39" s="528"/>
      <c r="AB39" s="528"/>
      <c r="AC39" s="528"/>
      <c r="AD39" s="528"/>
      <c r="AE39" s="528"/>
      <c r="AF39" s="528"/>
      <c r="AG39" s="528"/>
      <c r="AH39" s="528"/>
      <c r="AI39" s="528"/>
      <c r="AJ39" s="528"/>
      <c r="AK39" s="528"/>
    </row>
    <row r="40" spans="2:37" s="527" customFormat="1" ht="20.5" customHeight="1" x14ac:dyDescent="0.35">
      <c r="C40" s="529">
        <v>6</v>
      </c>
      <c r="D40" s="718"/>
      <c r="E40" s="767"/>
      <c r="F40" s="176"/>
      <c r="G40" s="176"/>
      <c r="H40" s="176"/>
      <c r="I40" s="718"/>
      <c r="J40" s="719"/>
      <c r="K40" s="719"/>
      <c r="L40" s="719"/>
      <c r="M40" s="719"/>
      <c r="N40" s="719"/>
      <c r="O40" s="720"/>
      <c r="R40" s="528"/>
      <c r="S40" s="528"/>
      <c r="T40" s="528"/>
      <c r="U40" s="528"/>
      <c r="V40" s="528"/>
      <c r="W40" s="528"/>
      <c r="X40" s="528"/>
      <c r="Y40" s="528"/>
      <c r="Z40" s="528"/>
      <c r="AA40" s="528"/>
      <c r="AB40" s="528"/>
      <c r="AC40" s="528"/>
      <c r="AD40" s="528"/>
      <c r="AE40" s="528"/>
      <c r="AF40" s="528"/>
      <c r="AG40" s="528"/>
      <c r="AH40" s="528"/>
      <c r="AI40" s="528"/>
      <c r="AJ40" s="528"/>
      <c r="AK40" s="528"/>
    </row>
    <row r="41" spans="2:37" s="527" customFormat="1" ht="20.5" customHeight="1" x14ac:dyDescent="0.35">
      <c r="C41" s="529">
        <v>7</v>
      </c>
      <c r="D41" s="718"/>
      <c r="E41" s="767"/>
      <c r="F41" s="176"/>
      <c r="G41" s="176"/>
      <c r="H41" s="176"/>
      <c r="I41" s="718"/>
      <c r="J41" s="719"/>
      <c r="K41" s="719"/>
      <c r="L41" s="719"/>
      <c r="M41" s="719"/>
      <c r="N41" s="719"/>
      <c r="O41" s="720"/>
      <c r="R41" s="528"/>
      <c r="S41" s="528"/>
      <c r="T41" s="528"/>
      <c r="U41" s="528"/>
      <c r="V41" s="528"/>
      <c r="W41" s="528"/>
      <c r="X41" s="528"/>
      <c r="Y41" s="528"/>
      <c r="Z41" s="528"/>
      <c r="AA41" s="528"/>
      <c r="AB41" s="528"/>
      <c r="AC41" s="528"/>
      <c r="AD41" s="528"/>
      <c r="AE41" s="528"/>
      <c r="AF41" s="528"/>
      <c r="AG41" s="528"/>
      <c r="AH41" s="528"/>
      <c r="AI41" s="528"/>
      <c r="AJ41" s="528"/>
      <c r="AK41" s="528"/>
    </row>
    <row r="42" spans="2:37" s="527" customFormat="1" ht="20.5" customHeight="1" x14ac:dyDescent="0.35">
      <c r="C42" s="529">
        <v>8</v>
      </c>
      <c r="D42" s="718"/>
      <c r="E42" s="767"/>
      <c r="F42" s="176"/>
      <c r="G42" s="176"/>
      <c r="H42" s="176"/>
      <c r="I42" s="718"/>
      <c r="J42" s="719"/>
      <c r="K42" s="719"/>
      <c r="L42" s="719"/>
      <c r="M42" s="719"/>
      <c r="N42" s="719"/>
      <c r="O42" s="720"/>
      <c r="R42" s="528"/>
      <c r="S42" s="528"/>
      <c r="T42" s="528"/>
      <c r="U42" s="528"/>
      <c r="V42" s="528"/>
      <c r="W42" s="528"/>
      <c r="X42" s="528"/>
      <c r="Y42" s="528"/>
      <c r="Z42" s="528"/>
      <c r="AA42" s="528"/>
      <c r="AB42" s="528"/>
      <c r="AC42" s="528"/>
      <c r="AD42" s="528"/>
      <c r="AE42" s="528"/>
      <c r="AF42" s="528"/>
      <c r="AG42" s="528"/>
      <c r="AH42" s="528"/>
      <c r="AI42" s="528"/>
      <c r="AJ42" s="528"/>
      <c r="AK42" s="528"/>
    </row>
    <row r="43" spans="2:37" s="527" customFormat="1" ht="20.5" customHeight="1" x14ac:dyDescent="0.35">
      <c r="C43" s="529">
        <v>9</v>
      </c>
      <c r="D43" s="718"/>
      <c r="E43" s="767"/>
      <c r="F43" s="176"/>
      <c r="G43" s="176"/>
      <c r="H43" s="176"/>
      <c r="I43" s="718"/>
      <c r="J43" s="719"/>
      <c r="K43" s="719"/>
      <c r="L43" s="719"/>
      <c r="M43" s="719"/>
      <c r="N43" s="719"/>
      <c r="O43" s="720"/>
      <c r="R43" s="528"/>
      <c r="S43" s="528"/>
      <c r="T43" s="528"/>
      <c r="U43" s="528"/>
      <c r="V43" s="528"/>
      <c r="W43" s="528"/>
      <c r="X43" s="528"/>
      <c r="Y43" s="528"/>
      <c r="Z43" s="528"/>
      <c r="AA43" s="528"/>
      <c r="AB43" s="528"/>
      <c r="AC43" s="528"/>
      <c r="AD43" s="528"/>
      <c r="AE43" s="528"/>
      <c r="AF43" s="528"/>
      <c r="AG43" s="528"/>
      <c r="AH43" s="528"/>
      <c r="AI43" s="528"/>
      <c r="AJ43" s="528"/>
      <c r="AK43" s="528"/>
    </row>
    <row r="44" spans="2:37" s="527" customFormat="1" ht="20.5" customHeight="1" thickBot="1" x14ac:dyDescent="0.4">
      <c r="C44" s="532">
        <v>10</v>
      </c>
      <c r="D44" s="716"/>
      <c r="E44" s="717"/>
      <c r="F44" s="533"/>
      <c r="G44" s="533"/>
      <c r="H44" s="533"/>
      <c r="I44" s="716"/>
      <c r="J44" s="721"/>
      <c r="K44" s="721"/>
      <c r="L44" s="721"/>
      <c r="M44" s="721"/>
      <c r="N44" s="721"/>
      <c r="O44" s="722"/>
      <c r="R44" s="528"/>
      <c r="S44" s="528"/>
      <c r="T44" s="528"/>
      <c r="U44" s="528"/>
      <c r="V44" s="528"/>
      <c r="W44" s="528"/>
      <c r="X44" s="528"/>
      <c r="Y44" s="528"/>
      <c r="Z44" s="528"/>
      <c r="AA44" s="528"/>
      <c r="AB44" s="528"/>
      <c r="AC44" s="528"/>
      <c r="AD44" s="528"/>
      <c r="AE44" s="528"/>
      <c r="AF44" s="528"/>
      <c r="AG44" s="528"/>
      <c r="AH44" s="528"/>
      <c r="AI44" s="528"/>
      <c r="AJ44" s="528"/>
      <c r="AK44" s="528"/>
    </row>
    <row r="45" spans="2:37" s="3" customFormat="1" ht="15" customHeight="1" thickTop="1" x14ac:dyDescent="0.45">
      <c r="B45" s="346"/>
      <c r="C45" s="346"/>
      <c r="D45" s="346"/>
      <c r="E45" s="346"/>
      <c r="F45" s="346"/>
      <c r="G45" s="346"/>
      <c r="H45" s="346"/>
      <c r="I45" s="346"/>
      <c r="J45" s="346"/>
      <c r="K45" s="346"/>
      <c r="L45" s="346"/>
      <c r="M45" s="346"/>
      <c r="N45" s="346"/>
      <c r="O45" s="356"/>
      <c r="Q45" s="123"/>
      <c r="R45" s="123"/>
      <c r="S45" s="123"/>
      <c r="T45" s="123"/>
      <c r="U45" s="123"/>
      <c r="V45" s="123"/>
      <c r="W45" s="123"/>
      <c r="X45" s="123"/>
      <c r="Y45" s="123"/>
      <c r="Z45" s="123"/>
      <c r="AA45" s="123"/>
      <c r="AB45" s="123"/>
      <c r="AC45" s="123"/>
      <c r="AD45" s="123"/>
      <c r="AE45" s="123"/>
      <c r="AF45" s="123"/>
      <c r="AG45" s="123"/>
      <c r="AH45" s="123"/>
      <c r="AI45" s="123"/>
      <c r="AJ45" s="123"/>
    </row>
    <row r="46" spans="2:37" s="3" customFormat="1" ht="15" customHeight="1" x14ac:dyDescent="0.45">
      <c r="B46" s="346"/>
      <c r="C46" s="346"/>
      <c r="D46" s="346"/>
      <c r="E46" s="346"/>
      <c r="F46" s="346"/>
      <c r="G46" s="346"/>
      <c r="H46" s="346"/>
      <c r="I46" s="346"/>
      <c r="J46" s="346"/>
      <c r="K46" s="346"/>
      <c r="L46" s="346"/>
      <c r="M46" s="346"/>
      <c r="N46" s="346"/>
      <c r="O46" s="356"/>
      <c r="Q46" s="123"/>
      <c r="R46" s="123"/>
      <c r="S46" s="123"/>
      <c r="T46" s="123"/>
      <c r="U46" s="123"/>
      <c r="V46" s="123"/>
      <c r="W46" s="123"/>
      <c r="X46" s="123"/>
      <c r="Y46" s="123"/>
      <c r="Z46" s="123"/>
      <c r="AA46" s="123"/>
      <c r="AB46" s="123"/>
      <c r="AC46" s="123"/>
      <c r="AD46" s="123"/>
      <c r="AE46" s="123"/>
      <c r="AF46" s="123"/>
      <c r="AG46" s="123"/>
      <c r="AH46" s="123"/>
      <c r="AI46" s="123"/>
      <c r="AJ46" s="123"/>
    </row>
    <row r="47" spans="2:37" s="3" customFormat="1" ht="15" customHeight="1" x14ac:dyDescent="0.45">
      <c r="B47" s="346"/>
      <c r="C47" s="346"/>
      <c r="D47" s="346"/>
      <c r="E47" s="346"/>
      <c r="F47" s="346"/>
      <c r="H47" s="346"/>
      <c r="I47" s="346"/>
      <c r="J47" s="346"/>
      <c r="K47" s="346"/>
      <c r="L47" s="346"/>
      <c r="M47" s="346"/>
      <c r="N47" s="346"/>
      <c r="O47" s="356"/>
      <c r="Q47" s="123"/>
      <c r="R47" s="123"/>
      <c r="S47" s="123"/>
      <c r="T47" s="123"/>
      <c r="U47" s="123"/>
      <c r="V47" s="123"/>
      <c r="W47" s="123"/>
      <c r="X47" s="123"/>
      <c r="Y47" s="123"/>
      <c r="Z47" s="123"/>
      <c r="AA47" s="123"/>
      <c r="AB47" s="123"/>
      <c r="AC47" s="123"/>
      <c r="AD47" s="123"/>
      <c r="AE47" s="123"/>
      <c r="AF47" s="123"/>
      <c r="AG47" s="123"/>
      <c r="AH47" s="123"/>
      <c r="AI47" s="123"/>
      <c r="AJ47" s="123"/>
    </row>
    <row r="48" spans="2:37" s="3" customFormat="1" ht="15" customHeight="1" x14ac:dyDescent="0.45">
      <c r="B48" s="346"/>
      <c r="C48" s="346"/>
      <c r="D48" s="346"/>
      <c r="E48" s="346"/>
      <c r="F48" s="346"/>
      <c r="G48" s="346"/>
      <c r="H48" s="346"/>
      <c r="I48" s="346"/>
      <c r="J48" s="346"/>
      <c r="K48" s="346"/>
      <c r="L48" s="346"/>
      <c r="M48" s="346"/>
      <c r="N48" s="346"/>
      <c r="O48" s="356"/>
      <c r="Q48" s="123"/>
      <c r="R48" s="123"/>
      <c r="S48" s="123"/>
      <c r="T48" s="123"/>
      <c r="U48" s="123"/>
      <c r="V48" s="123"/>
      <c r="W48" s="123"/>
      <c r="X48" s="123"/>
      <c r="Y48" s="123"/>
      <c r="Z48" s="123"/>
      <c r="AA48" s="123"/>
      <c r="AB48" s="123"/>
      <c r="AC48" s="123"/>
      <c r="AD48" s="123"/>
      <c r="AE48" s="123"/>
      <c r="AF48" s="123"/>
      <c r="AG48" s="123"/>
      <c r="AH48" s="123"/>
      <c r="AI48" s="123"/>
      <c r="AJ48" s="123"/>
    </row>
    <row r="49" spans="2:36" s="3" customFormat="1" ht="15" customHeight="1" x14ac:dyDescent="0.45">
      <c r="B49" s="346"/>
      <c r="C49" s="346"/>
      <c r="D49" s="346"/>
      <c r="E49" s="346"/>
      <c r="F49" s="346"/>
      <c r="G49" s="346"/>
      <c r="H49" s="346"/>
      <c r="I49" s="346"/>
      <c r="J49" s="346"/>
      <c r="K49" s="346"/>
      <c r="L49" s="346"/>
      <c r="M49" s="346"/>
      <c r="N49" s="346"/>
      <c r="O49" s="356"/>
      <c r="Q49" s="123"/>
      <c r="R49" s="123"/>
      <c r="S49" s="123"/>
      <c r="T49" s="123"/>
      <c r="U49" s="123"/>
      <c r="V49" s="123"/>
      <c r="W49" s="123"/>
      <c r="X49" s="123"/>
      <c r="Y49" s="123"/>
      <c r="Z49" s="123"/>
      <c r="AA49" s="123"/>
      <c r="AB49" s="123"/>
      <c r="AC49" s="123"/>
      <c r="AD49" s="123"/>
      <c r="AE49" s="123"/>
      <c r="AF49" s="123"/>
      <c r="AG49" s="123"/>
      <c r="AH49" s="123"/>
      <c r="AI49" s="123"/>
      <c r="AJ49" s="123"/>
    </row>
    <row r="50" spans="2:36" s="3" customFormat="1" ht="15" customHeight="1" x14ac:dyDescent="0.45">
      <c r="B50" s="346"/>
      <c r="C50" s="346"/>
      <c r="D50" s="346"/>
      <c r="E50" s="346"/>
      <c r="F50" s="346"/>
      <c r="G50" s="346"/>
      <c r="H50" s="346"/>
      <c r="I50" s="346"/>
      <c r="J50" s="346"/>
      <c r="K50" s="346"/>
      <c r="L50" s="346"/>
      <c r="M50" s="346"/>
      <c r="N50" s="346"/>
      <c r="O50" s="356"/>
      <c r="Q50" s="123"/>
      <c r="R50" s="123"/>
      <c r="S50" s="123"/>
      <c r="T50" s="123"/>
      <c r="U50" s="123"/>
      <c r="V50" s="123"/>
      <c r="W50" s="123"/>
      <c r="X50" s="123"/>
      <c r="Y50" s="123"/>
      <c r="Z50" s="123"/>
      <c r="AA50" s="123"/>
      <c r="AB50" s="123"/>
      <c r="AC50" s="123"/>
      <c r="AD50" s="123"/>
      <c r="AE50" s="123"/>
      <c r="AF50" s="123"/>
      <c r="AG50" s="123"/>
      <c r="AH50" s="123"/>
      <c r="AI50" s="123"/>
      <c r="AJ50" s="123"/>
    </row>
    <row r="51" spans="2:36" s="3" customFormat="1" ht="15" customHeight="1" x14ac:dyDescent="0.45">
      <c r="B51" s="346"/>
      <c r="C51" s="346"/>
      <c r="D51" s="346"/>
      <c r="E51" s="346"/>
      <c r="F51" s="346"/>
      <c r="G51" s="346"/>
      <c r="H51" s="346"/>
      <c r="I51" s="346"/>
      <c r="J51" s="346"/>
      <c r="K51" s="346"/>
      <c r="L51" s="346"/>
      <c r="M51" s="346"/>
      <c r="N51" s="346"/>
      <c r="O51" s="356"/>
      <c r="Q51" s="123"/>
      <c r="R51" s="123"/>
      <c r="S51" s="123"/>
      <c r="T51" s="123"/>
      <c r="U51" s="123"/>
      <c r="V51" s="123"/>
      <c r="W51" s="123"/>
      <c r="X51" s="123"/>
      <c r="Y51" s="123"/>
      <c r="Z51" s="123"/>
      <c r="AA51" s="123"/>
      <c r="AB51" s="123"/>
      <c r="AC51" s="123"/>
      <c r="AD51" s="123"/>
      <c r="AE51" s="123"/>
      <c r="AF51" s="123"/>
      <c r="AG51" s="123"/>
      <c r="AH51" s="123"/>
      <c r="AI51" s="123"/>
      <c r="AJ51" s="123"/>
    </row>
    <row r="52" spans="2:36" s="3" customFormat="1" ht="15" customHeight="1" x14ac:dyDescent="0.45">
      <c r="B52" s="346"/>
      <c r="C52" s="346"/>
      <c r="D52" s="346"/>
      <c r="E52" s="346"/>
      <c r="F52" s="346"/>
      <c r="G52" s="346"/>
      <c r="H52" s="346"/>
      <c r="I52" s="346"/>
      <c r="J52" s="346"/>
      <c r="K52" s="346"/>
      <c r="L52" s="346"/>
      <c r="M52" s="346"/>
      <c r="N52" s="346"/>
      <c r="O52" s="356"/>
      <c r="Q52" s="123"/>
      <c r="R52" s="123"/>
      <c r="S52" s="123"/>
      <c r="T52" s="123"/>
      <c r="U52" s="123"/>
      <c r="V52" s="123"/>
      <c r="W52" s="123"/>
      <c r="X52" s="123"/>
      <c r="Y52" s="123"/>
      <c r="Z52" s="123"/>
      <c r="AA52" s="123"/>
      <c r="AB52" s="123"/>
      <c r="AC52" s="123"/>
      <c r="AD52" s="123"/>
      <c r="AE52" s="123"/>
      <c r="AF52" s="123"/>
      <c r="AG52" s="123"/>
      <c r="AH52" s="123"/>
      <c r="AI52" s="123"/>
      <c r="AJ52" s="123"/>
    </row>
    <row r="53" spans="2:36" s="3" customFormat="1" ht="15" customHeight="1" x14ac:dyDescent="0.45">
      <c r="B53" s="346"/>
      <c r="C53" s="346"/>
      <c r="D53" s="346"/>
      <c r="E53" s="346"/>
      <c r="F53" s="346"/>
      <c r="G53" s="346"/>
      <c r="H53" s="346"/>
      <c r="I53" s="346"/>
      <c r="J53" s="346"/>
      <c r="K53" s="346"/>
      <c r="L53" s="346"/>
      <c r="M53" s="346"/>
      <c r="N53" s="346"/>
      <c r="O53" s="356"/>
      <c r="Q53" s="123"/>
      <c r="R53" s="123"/>
      <c r="S53" s="123"/>
      <c r="T53" s="123"/>
      <c r="U53" s="123"/>
      <c r="V53" s="123"/>
      <c r="W53" s="123"/>
      <c r="X53" s="123"/>
      <c r="Y53" s="123"/>
      <c r="Z53" s="123"/>
      <c r="AA53" s="123"/>
      <c r="AB53" s="123"/>
      <c r="AC53" s="123"/>
      <c r="AD53" s="123"/>
      <c r="AE53" s="123"/>
      <c r="AF53" s="123"/>
      <c r="AG53" s="123"/>
      <c r="AH53" s="123"/>
      <c r="AI53" s="123"/>
      <c r="AJ53" s="123"/>
    </row>
    <row r="54" spans="2:36" s="3" customFormat="1" ht="15" customHeight="1" x14ac:dyDescent="0.45">
      <c r="B54" s="346"/>
      <c r="C54" s="346"/>
      <c r="D54" s="346"/>
      <c r="E54" s="346"/>
      <c r="F54" s="346"/>
      <c r="G54" s="346"/>
      <c r="H54" s="346"/>
      <c r="I54" s="346"/>
      <c r="J54" s="346"/>
      <c r="K54" s="346"/>
      <c r="L54" s="346"/>
      <c r="M54" s="346"/>
      <c r="N54" s="346"/>
      <c r="O54" s="356"/>
      <c r="Q54" s="123"/>
      <c r="R54" s="123"/>
      <c r="S54" s="123"/>
      <c r="T54" s="123"/>
      <c r="U54" s="123"/>
      <c r="V54" s="123"/>
      <c r="W54" s="123"/>
      <c r="X54" s="123"/>
      <c r="Y54" s="123"/>
      <c r="Z54" s="123"/>
      <c r="AA54" s="123"/>
      <c r="AB54" s="123"/>
      <c r="AC54" s="123"/>
      <c r="AD54" s="123"/>
      <c r="AE54" s="123"/>
      <c r="AF54" s="123"/>
      <c r="AG54" s="123"/>
      <c r="AH54" s="123"/>
      <c r="AI54" s="123"/>
      <c r="AJ54" s="123"/>
    </row>
    <row r="55" spans="2:36" s="3" customFormat="1" ht="15" customHeight="1" x14ac:dyDescent="0.45">
      <c r="B55" s="346"/>
      <c r="C55" s="346"/>
      <c r="D55" s="346"/>
      <c r="E55" s="346"/>
      <c r="F55" s="346"/>
      <c r="G55" s="346"/>
      <c r="H55" s="346"/>
      <c r="I55" s="346"/>
      <c r="J55" s="346"/>
      <c r="K55" s="346"/>
      <c r="L55" s="346"/>
      <c r="M55" s="346"/>
      <c r="N55" s="346"/>
      <c r="O55" s="356"/>
      <c r="Q55" s="123"/>
      <c r="R55" s="123"/>
      <c r="S55" s="123"/>
      <c r="T55" s="123"/>
      <c r="U55" s="123"/>
      <c r="V55" s="123"/>
      <c r="W55" s="123"/>
      <c r="X55" s="123"/>
      <c r="Y55" s="123"/>
      <c r="Z55" s="123"/>
      <c r="AA55" s="123"/>
      <c r="AB55" s="123"/>
      <c r="AC55" s="123"/>
      <c r="AD55" s="123"/>
      <c r="AE55" s="123"/>
      <c r="AF55" s="123"/>
      <c r="AG55" s="123"/>
      <c r="AH55" s="123"/>
      <c r="AI55" s="123"/>
      <c r="AJ55" s="123"/>
    </row>
    <row r="56" spans="2:36" s="3" customFormat="1" ht="15" customHeight="1" x14ac:dyDescent="0.45">
      <c r="B56" s="346"/>
      <c r="C56" s="346"/>
      <c r="D56" s="346"/>
      <c r="E56" s="346"/>
      <c r="F56" s="346"/>
      <c r="G56" s="346"/>
      <c r="H56" s="346"/>
      <c r="I56" s="346"/>
      <c r="J56" s="346"/>
      <c r="K56" s="346"/>
      <c r="L56" s="346"/>
      <c r="M56" s="346"/>
      <c r="N56" s="346"/>
      <c r="O56" s="356"/>
      <c r="Q56" s="123"/>
      <c r="R56" s="123"/>
      <c r="S56" s="123"/>
      <c r="T56" s="123"/>
      <c r="U56" s="123"/>
      <c r="V56" s="123"/>
      <c r="W56" s="123"/>
      <c r="X56" s="123"/>
      <c r="Y56" s="123"/>
      <c r="Z56" s="123"/>
      <c r="AA56" s="123"/>
      <c r="AB56" s="123"/>
      <c r="AC56" s="123"/>
      <c r="AD56" s="123"/>
      <c r="AE56" s="123"/>
      <c r="AF56" s="123"/>
      <c r="AG56" s="123"/>
      <c r="AH56" s="123"/>
      <c r="AI56" s="123"/>
      <c r="AJ56" s="123"/>
    </row>
    <row r="57" spans="2:36" s="3" customFormat="1" ht="15" customHeight="1" x14ac:dyDescent="0.45">
      <c r="B57" s="346"/>
      <c r="C57" s="346"/>
      <c r="D57" s="346"/>
      <c r="E57" s="346"/>
      <c r="F57" s="346"/>
      <c r="G57" s="346"/>
      <c r="H57" s="346"/>
      <c r="I57" s="346"/>
      <c r="J57" s="346"/>
      <c r="K57" s="346"/>
      <c r="L57" s="346"/>
      <c r="M57" s="346"/>
      <c r="N57" s="346"/>
      <c r="O57" s="356"/>
      <c r="Q57" s="123"/>
      <c r="R57" s="123"/>
      <c r="S57" s="123"/>
      <c r="T57" s="123"/>
      <c r="U57" s="123"/>
      <c r="V57" s="123"/>
      <c r="W57" s="123"/>
      <c r="X57" s="123"/>
      <c r="Y57" s="123"/>
      <c r="Z57" s="123"/>
      <c r="AA57" s="123"/>
      <c r="AB57" s="123"/>
      <c r="AC57" s="123"/>
      <c r="AD57" s="123"/>
      <c r="AE57" s="123"/>
      <c r="AF57" s="123"/>
      <c r="AG57" s="123"/>
      <c r="AH57" s="123"/>
      <c r="AI57" s="123"/>
      <c r="AJ57" s="123"/>
    </row>
    <row r="58" spans="2:36" s="3" customFormat="1" ht="15" customHeight="1" x14ac:dyDescent="0.45">
      <c r="B58" s="346"/>
      <c r="C58" s="346"/>
      <c r="D58" s="346"/>
      <c r="E58" s="346"/>
      <c r="F58" s="346"/>
      <c r="G58" s="346"/>
      <c r="H58" s="346"/>
      <c r="I58" s="346"/>
      <c r="J58" s="346"/>
      <c r="K58" s="346"/>
      <c r="L58" s="346"/>
      <c r="M58" s="346"/>
      <c r="N58" s="346"/>
      <c r="O58" s="356"/>
      <c r="Q58" s="123"/>
      <c r="R58" s="123"/>
      <c r="S58" s="123"/>
      <c r="T58" s="123"/>
      <c r="U58" s="123"/>
      <c r="V58" s="123"/>
      <c r="W58" s="123"/>
      <c r="X58" s="123"/>
      <c r="Y58" s="123"/>
      <c r="Z58" s="123"/>
      <c r="AA58" s="123"/>
      <c r="AB58" s="123"/>
      <c r="AC58" s="123"/>
      <c r="AD58" s="123"/>
      <c r="AE58" s="123"/>
      <c r="AF58" s="123"/>
      <c r="AG58" s="123"/>
      <c r="AH58" s="123"/>
      <c r="AI58" s="123"/>
      <c r="AJ58" s="123"/>
    </row>
    <row r="59" spans="2:36" s="3" customFormat="1" ht="15" customHeight="1" x14ac:dyDescent="0.45">
      <c r="B59" s="346"/>
      <c r="C59" s="346"/>
      <c r="D59" s="346"/>
      <c r="E59" s="346"/>
      <c r="F59" s="346"/>
      <c r="G59" s="346"/>
      <c r="H59" s="346"/>
      <c r="I59" s="346"/>
      <c r="J59" s="346"/>
      <c r="K59" s="346"/>
      <c r="L59" s="346"/>
      <c r="M59" s="346"/>
      <c r="N59" s="346"/>
      <c r="O59" s="356"/>
      <c r="Q59" s="123"/>
      <c r="R59" s="123"/>
      <c r="S59" s="123"/>
      <c r="T59" s="123"/>
      <c r="U59" s="123"/>
      <c r="V59" s="123"/>
      <c r="W59" s="123"/>
      <c r="X59" s="123"/>
      <c r="Y59" s="123"/>
      <c r="Z59" s="123"/>
      <c r="AA59" s="123"/>
      <c r="AB59" s="123"/>
      <c r="AC59" s="123"/>
      <c r="AD59" s="123"/>
      <c r="AE59" s="123"/>
      <c r="AF59" s="123"/>
      <c r="AG59" s="123"/>
      <c r="AH59" s="123"/>
      <c r="AI59" s="123"/>
      <c r="AJ59" s="123"/>
    </row>
    <row r="60" spans="2:36" s="3" customFormat="1" ht="15" customHeight="1" x14ac:dyDescent="0.45">
      <c r="B60" s="346"/>
      <c r="C60" s="346"/>
      <c r="D60" s="346"/>
      <c r="E60" s="346"/>
      <c r="F60" s="346"/>
      <c r="G60" s="346"/>
      <c r="H60" s="346"/>
      <c r="I60" s="346"/>
      <c r="J60" s="346"/>
      <c r="K60" s="346"/>
      <c r="L60" s="346"/>
      <c r="M60" s="346"/>
      <c r="N60" s="346"/>
      <c r="O60" s="356"/>
      <c r="Q60" s="123"/>
      <c r="R60" s="123"/>
      <c r="S60" s="123"/>
      <c r="T60" s="123"/>
      <c r="U60" s="123"/>
      <c r="V60" s="123"/>
      <c r="W60" s="123"/>
      <c r="X60" s="123"/>
      <c r="Y60" s="123"/>
      <c r="Z60" s="123"/>
      <c r="AA60" s="123"/>
      <c r="AB60" s="123"/>
      <c r="AC60" s="123"/>
      <c r="AD60" s="123"/>
      <c r="AE60" s="123"/>
      <c r="AF60" s="123"/>
      <c r="AG60" s="123"/>
      <c r="AH60" s="123"/>
      <c r="AI60" s="123"/>
      <c r="AJ60" s="123"/>
    </row>
    <row r="61" spans="2:36" s="3" customFormat="1" ht="15" customHeight="1" x14ac:dyDescent="0.45">
      <c r="B61" s="346"/>
      <c r="C61" s="346"/>
      <c r="D61" s="346"/>
      <c r="E61" s="346"/>
      <c r="F61" s="346"/>
      <c r="G61" s="346"/>
      <c r="H61" s="346"/>
      <c r="I61" s="346"/>
      <c r="J61" s="346"/>
      <c r="K61" s="346"/>
      <c r="L61" s="346"/>
      <c r="M61" s="346"/>
      <c r="N61" s="346"/>
      <c r="O61" s="356"/>
      <c r="Q61" s="123"/>
      <c r="R61" s="123"/>
      <c r="S61" s="123"/>
      <c r="T61" s="123"/>
      <c r="U61" s="123"/>
      <c r="V61" s="123"/>
      <c r="W61" s="123"/>
      <c r="X61" s="123"/>
      <c r="Y61" s="123"/>
      <c r="Z61" s="123"/>
      <c r="AA61" s="123"/>
      <c r="AB61" s="123"/>
      <c r="AC61" s="123"/>
      <c r="AD61" s="123"/>
      <c r="AE61" s="123"/>
      <c r="AF61" s="123"/>
      <c r="AG61" s="123"/>
      <c r="AH61" s="123"/>
      <c r="AI61" s="123"/>
      <c r="AJ61" s="123"/>
    </row>
    <row r="62" spans="2:36" s="3" customFormat="1" ht="15" customHeight="1" x14ac:dyDescent="0.45">
      <c r="B62" s="346"/>
      <c r="C62" s="346"/>
      <c r="D62" s="346"/>
      <c r="E62" s="346"/>
      <c r="F62" s="346"/>
      <c r="G62" s="346"/>
      <c r="H62" s="346"/>
      <c r="I62" s="346"/>
      <c r="J62" s="346"/>
      <c r="K62" s="346"/>
      <c r="L62" s="346"/>
      <c r="M62" s="346"/>
      <c r="N62" s="346"/>
      <c r="O62" s="356"/>
      <c r="Q62" s="123"/>
      <c r="R62" s="123"/>
      <c r="S62" s="123"/>
      <c r="T62" s="123"/>
      <c r="U62" s="123"/>
      <c r="V62" s="123"/>
      <c r="W62" s="123"/>
      <c r="X62" s="123"/>
      <c r="Y62" s="123"/>
      <c r="Z62" s="123"/>
      <c r="AA62" s="123"/>
      <c r="AB62" s="123"/>
      <c r="AC62" s="123"/>
      <c r="AD62" s="123"/>
      <c r="AE62" s="123"/>
      <c r="AF62" s="123"/>
      <c r="AG62" s="123"/>
      <c r="AH62" s="123"/>
      <c r="AI62" s="123"/>
      <c r="AJ62" s="123"/>
    </row>
    <row r="63" spans="2:36" s="3" customFormat="1" ht="15" customHeight="1" x14ac:dyDescent="0.45">
      <c r="B63" s="346"/>
      <c r="C63" s="346"/>
      <c r="D63" s="346"/>
      <c r="E63" s="346"/>
      <c r="F63" s="346"/>
      <c r="G63" s="346"/>
      <c r="H63" s="346"/>
      <c r="I63" s="346"/>
      <c r="J63" s="346"/>
      <c r="K63" s="346"/>
      <c r="L63" s="346"/>
      <c r="M63" s="346"/>
      <c r="N63" s="346"/>
      <c r="O63" s="356"/>
      <c r="Q63" s="123"/>
      <c r="R63" s="123"/>
      <c r="S63" s="123"/>
      <c r="T63" s="123"/>
      <c r="U63" s="123"/>
      <c r="V63" s="123"/>
      <c r="W63" s="123"/>
      <c r="X63" s="123"/>
      <c r="Y63" s="123"/>
      <c r="Z63" s="123"/>
      <c r="AA63" s="123"/>
      <c r="AB63" s="123"/>
      <c r="AC63" s="123"/>
      <c r="AD63" s="123"/>
      <c r="AE63" s="123"/>
      <c r="AF63" s="123"/>
      <c r="AG63" s="123"/>
      <c r="AH63" s="123"/>
      <c r="AI63" s="123"/>
      <c r="AJ63" s="123"/>
    </row>
    <row r="64" spans="2:36" s="3" customFormat="1" ht="15" customHeight="1" x14ac:dyDescent="0.45">
      <c r="B64" s="346"/>
      <c r="C64" s="346"/>
      <c r="D64" s="346"/>
      <c r="E64" s="346"/>
      <c r="F64" s="346"/>
      <c r="G64" s="346"/>
      <c r="H64" s="346"/>
      <c r="I64" s="346"/>
      <c r="J64" s="346"/>
      <c r="K64" s="346"/>
      <c r="L64" s="346"/>
      <c r="M64" s="346"/>
      <c r="N64" s="346"/>
      <c r="O64" s="356"/>
      <c r="Q64" s="123"/>
      <c r="R64" s="123"/>
      <c r="S64" s="123"/>
      <c r="T64" s="123"/>
      <c r="U64" s="123"/>
      <c r="V64" s="123"/>
      <c r="W64" s="123"/>
      <c r="X64" s="123"/>
      <c r="Y64" s="123"/>
      <c r="Z64" s="123"/>
      <c r="AA64" s="123"/>
      <c r="AB64" s="123"/>
      <c r="AC64" s="123"/>
      <c r="AD64" s="123"/>
      <c r="AE64" s="123"/>
      <c r="AF64" s="123"/>
      <c r="AG64" s="123"/>
      <c r="AH64" s="123"/>
      <c r="AI64" s="123"/>
      <c r="AJ64" s="123"/>
    </row>
    <row r="65" spans="2:36" s="3" customFormat="1" ht="15" customHeight="1" x14ac:dyDescent="0.45">
      <c r="B65" s="346"/>
      <c r="C65" s="346"/>
      <c r="D65" s="346"/>
      <c r="E65" s="346"/>
      <c r="F65" s="346"/>
      <c r="G65" s="346"/>
      <c r="H65" s="346"/>
      <c r="I65" s="346"/>
      <c r="J65" s="346"/>
      <c r="K65" s="346"/>
      <c r="L65" s="346"/>
      <c r="M65" s="346"/>
      <c r="N65" s="346"/>
      <c r="O65" s="356"/>
      <c r="Q65" s="123"/>
      <c r="R65" s="123"/>
      <c r="S65" s="123"/>
      <c r="T65" s="123"/>
      <c r="U65" s="123"/>
      <c r="V65" s="123"/>
      <c r="W65" s="123"/>
      <c r="X65" s="123"/>
      <c r="Y65" s="123"/>
      <c r="Z65" s="123"/>
      <c r="AA65" s="123"/>
      <c r="AB65" s="123"/>
      <c r="AC65" s="123"/>
      <c r="AD65" s="123"/>
      <c r="AE65" s="123"/>
      <c r="AF65" s="123"/>
      <c r="AG65" s="123"/>
      <c r="AH65" s="123"/>
      <c r="AI65" s="123"/>
      <c r="AJ65" s="123"/>
    </row>
    <row r="66" spans="2:36" s="3" customFormat="1" ht="15" customHeight="1" x14ac:dyDescent="0.45">
      <c r="B66" s="346"/>
      <c r="C66" s="346"/>
      <c r="D66" s="346"/>
      <c r="E66" s="346"/>
      <c r="F66" s="346"/>
      <c r="G66" s="346"/>
      <c r="H66" s="346"/>
      <c r="I66" s="346"/>
      <c r="J66" s="346"/>
      <c r="K66" s="346"/>
      <c r="L66" s="346"/>
      <c r="M66" s="346"/>
      <c r="N66" s="346"/>
      <c r="O66" s="356"/>
      <c r="Q66" s="123"/>
      <c r="R66" s="123"/>
      <c r="S66" s="123"/>
      <c r="T66" s="123"/>
      <c r="U66" s="123"/>
      <c r="V66" s="123"/>
      <c r="W66" s="123"/>
      <c r="X66" s="123"/>
      <c r="Y66" s="123"/>
      <c r="Z66" s="123"/>
      <c r="AA66" s="123"/>
      <c r="AB66" s="123"/>
      <c r="AC66" s="123"/>
      <c r="AD66" s="123"/>
      <c r="AE66" s="123"/>
      <c r="AF66" s="123"/>
      <c r="AG66" s="123"/>
      <c r="AH66" s="123"/>
      <c r="AI66" s="123"/>
      <c r="AJ66" s="123"/>
    </row>
    <row r="67" spans="2:36" s="3" customFormat="1" ht="15" customHeight="1" x14ac:dyDescent="0.45">
      <c r="B67" s="346"/>
      <c r="C67" s="346"/>
      <c r="D67" s="346"/>
      <c r="E67" s="346"/>
      <c r="F67" s="346"/>
      <c r="G67" s="346"/>
      <c r="H67" s="346"/>
      <c r="I67" s="346"/>
      <c r="J67" s="346"/>
      <c r="K67" s="346"/>
      <c r="L67" s="346"/>
      <c r="M67" s="346"/>
      <c r="N67" s="346"/>
      <c r="O67" s="356"/>
      <c r="Q67" s="123"/>
      <c r="R67" s="123"/>
      <c r="S67" s="123"/>
      <c r="T67" s="123"/>
      <c r="U67" s="123"/>
      <c r="V67" s="123"/>
      <c r="W67" s="123"/>
      <c r="X67" s="123"/>
      <c r="Y67" s="123"/>
      <c r="Z67" s="123"/>
      <c r="AA67" s="123"/>
      <c r="AB67" s="123"/>
      <c r="AC67" s="123"/>
      <c r="AD67" s="123"/>
      <c r="AE67" s="123"/>
      <c r="AF67" s="123"/>
      <c r="AG67" s="123"/>
      <c r="AH67" s="123"/>
      <c r="AI67" s="123"/>
      <c r="AJ67" s="123"/>
    </row>
    <row r="68" spans="2:36" s="3" customFormat="1" ht="15" customHeight="1" x14ac:dyDescent="0.45">
      <c r="B68" s="346"/>
      <c r="C68" s="346"/>
      <c r="D68" s="346"/>
      <c r="E68" s="346"/>
      <c r="F68" s="346"/>
      <c r="G68" s="346"/>
      <c r="H68" s="346"/>
      <c r="I68" s="346"/>
      <c r="J68" s="346"/>
      <c r="K68" s="346"/>
      <c r="L68" s="346"/>
      <c r="M68" s="346"/>
      <c r="N68" s="346"/>
      <c r="O68" s="356"/>
      <c r="Q68" s="123"/>
      <c r="R68" s="123"/>
      <c r="S68" s="123"/>
      <c r="T68" s="123"/>
      <c r="U68" s="123"/>
      <c r="V68" s="123"/>
      <c r="W68" s="123"/>
      <c r="X68" s="123"/>
      <c r="Y68" s="123"/>
      <c r="Z68" s="123"/>
      <c r="AA68" s="123"/>
      <c r="AB68" s="123"/>
      <c r="AC68" s="123"/>
      <c r="AD68" s="123"/>
      <c r="AE68" s="123"/>
      <c r="AF68" s="123"/>
      <c r="AG68" s="123"/>
      <c r="AH68" s="123"/>
      <c r="AI68" s="123"/>
      <c r="AJ68" s="123"/>
    </row>
    <row r="69" spans="2:36" s="3" customFormat="1" ht="15" customHeight="1" x14ac:dyDescent="0.45">
      <c r="B69" s="346"/>
      <c r="C69" s="346"/>
      <c r="D69" s="346"/>
      <c r="E69" s="346"/>
      <c r="F69" s="346"/>
      <c r="G69" s="346"/>
      <c r="H69" s="346"/>
      <c r="I69" s="346"/>
      <c r="J69" s="346"/>
      <c r="K69" s="346"/>
      <c r="L69" s="346"/>
      <c r="M69" s="346"/>
      <c r="N69" s="346"/>
      <c r="O69" s="356"/>
      <c r="Q69" s="123"/>
      <c r="R69" s="123"/>
      <c r="S69" s="123"/>
      <c r="T69" s="123"/>
      <c r="U69" s="123"/>
      <c r="V69" s="123"/>
      <c r="W69" s="123"/>
      <c r="X69" s="123"/>
      <c r="Y69" s="123"/>
      <c r="Z69" s="123"/>
      <c r="AA69" s="123"/>
      <c r="AB69" s="123"/>
      <c r="AC69" s="123"/>
      <c r="AD69" s="123"/>
      <c r="AE69" s="123"/>
      <c r="AF69" s="123"/>
      <c r="AG69" s="123"/>
      <c r="AH69" s="123"/>
      <c r="AI69" s="123"/>
      <c r="AJ69" s="123"/>
    </row>
    <row r="70" spans="2:36" s="3" customFormat="1" ht="15" customHeight="1" x14ac:dyDescent="0.45">
      <c r="B70" s="346"/>
      <c r="C70" s="346"/>
      <c r="D70" s="346"/>
      <c r="E70" s="346"/>
      <c r="F70" s="346"/>
      <c r="G70" s="346"/>
      <c r="H70" s="346"/>
      <c r="I70" s="346"/>
      <c r="J70" s="346"/>
      <c r="K70" s="346"/>
      <c r="L70" s="346"/>
      <c r="M70" s="346"/>
      <c r="N70" s="346"/>
      <c r="O70" s="356"/>
      <c r="Q70" s="123"/>
      <c r="R70" s="123"/>
      <c r="S70" s="123"/>
      <c r="T70" s="123"/>
      <c r="U70" s="123"/>
      <c r="V70" s="123"/>
      <c r="W70" s="123"/>
      <c r="X70" s="123"/>
      <c r="Y70" s="123"/>
      <c r="Z70" s="123"/>
      <c r="AA70" s="123"/>
      <c r="AB70" s="123"/>
      <c r="AC70" s="123"/>
      <c r="AD70" s="123"/>
      <c r="AE70" s="123"/>
      <c r="AF70" s="123"/>
      <c r="AG70" s="123"/>
      <c r="AH70" s="123"/>
      <c r="AI70" s="123"/>
      <c r="AJ70" s="123"/>
    </row>
    <row r="71" spans="2:36" s="3" customFormat="1" ht="15" customHeight="1" x14ac:dyDescent="0.45">
      <c r="B71" s="346"/>
      <c r="C71" s="346"/>
      <c r="D71" s="346"/>
      <c r="E71" s="346"/>
      <c r="F71" s="346"/>
      <c r="G71" s="346"/>
      <c r="H71" s="346"/>
      <c r="I71" s="346"/>
      <c r="J71" s="346"/>
      <c r="K71" s="346"/>
      <c r="L71" s="346"/>
      <c r="M71" s="346"/>
      <c r="N71" s="346"/>
      <c r="O71" s="356"/>
      <c r="Q71" s="123"/>
      <c r="R71" s="123"/>
      <c r="S71" s="123"/>
      <c r="T71" s="123"/>
      <c r="U71" s="123"/>
      <c r="V71" s="123"/>
      <c r="W71" s="123"/>
      <c r="X71" s="123"/>
      <c r="Y71" s="123"/>
      <c r="Z71" s="123"/>
      <c r="AA71" s="123"/>
      <c r="AB71" s="123"/>
      <c r="AC71" s="123"/>
      <c r="AD71" s="123"/>
      <c r="AE71" s="123"/>
      <c r="AF71" s="123"/>
      <c r="AG71" s="123"/>
      <c r="AH71" s="123"/>
      <c r="AI71" s="123"/>
      <c r="AJ71" s="123"/>
    </row>
    <row r="72" spans="2:36" s="3" customFormat="1" ht="15" customHeight="1" x14ac:dyDescent="0.45">
      <c r="B72" s="346"/>
      <c r="C72" s="346"/>
      <c r="D72" s="346"/>
      <c r="E72" s="346"/>
      <c r="F72" s="346"/>
      <c r="G72" s="346"/>
      <c r="H72" s="346"/>
      <c r="I72" s="346"/>
      <c r="J72" s="346"/>
      <c r="K72" s="346"/>
      <c r="L72" s="346"/>
      <c r="M72" s="346"/>
      <c r="N72" s="346"/>
      <c r="O72" s="356"/>
      <c r="Q72" s="123"/>
      <c r="R72" s="123"/>
      <c r="S72" s="123"/>
      <c r="T72" s="123"/>
      <c r="U72" s="123"/>
      <c r="V72" s="123"/>
      <c r="W72" s="123"/>
      <c r="X72" s="123"/>
      <c r="Y72" s="123"/>
      <c r="Z72" s="123"/>
      <c r="AA72" s="123"/>
      <c r="AB72" s="123"/>
      <c r="AC72" s="123"/>
      <c r="AD72" s="123"/>
      <c r="AE72" s="123"/>
      <c r="AF72" s="123"/>
      <c r="AG72" s="123"/>
      <c r="AH72" s="123"/>
      <c r="AI72" s="123"/>
      <c r="AJ72" s="123"/>
    </row>
    <row r="73" spans="2:36" s="3" customFormat="1" ht="15" customHeight="1" x14ac:dyDescent="0.45">
      <c r="B73" s="346"/>
      <c r="C73" s="346"/>
      <c r="D73" s="346"/>
      <c r="E73" s="346"/>
      <c r="F73" s="346"/>
      <c r="G73" s="346"/>
      <c r="H73" s="346"/>
      <c r="I73" s="346"/>
      <c r="J73" s="346"/>
      <c r="K73" s="346"/>
      <c r="L73" s="346"/>
      <c r="M73" s="346"/>
      <c r="N73" s="346"/>
      <c r="O73" s="356"/>
      <c r="Q73" s="123"/>
      <c r="R73" s="123"/>
      <c r="S73" s="123"/>
      <c r="T73" s="123"/>
      <c r="U73" s="123"/>
      <c r="V73" s="123"/>
      <c r="W73" s="123"/>
      <c r="X73" s="123"/>
      <c r="Y73" s="123"/>
      <c r="Z73" s="123"/>
      <c r="AA73" s="123"/>
      <c r="AB73" s="123"/>
      <c r="AC73" s="123"/>
      <c r="AD73" s="123"/>
      <c r="AE73" s="123"/>
      <c r="AF73" s="123"/>
      <c r="AG73" s="123"/>
      <c r="AH73" s="123"/>
      <c r="AI73" s="123"/>
      <c r="AJ73" s="123"/>
    </row>
    <row r="74" spans="2:36" s="3" customFormat="1" ht="15" customHeight="1" x14ac:dyDescent="0.45">
      <c r="B74" s="346"/>
      <c r="C74" s="346"/>
      <c r="D74" s="346"/>
      <c r="E74" s="346"/>
      <c r="F74" s="346"/>
      <c r="G74" s="346"/>
      <c r="H74" s="346"/>
      <c r="I74" s="346"/>
      <c r="J74" s="346"/>
      <c r="K74" s="346"/>
      <c r="L74" s="346"/>
      <c r="M74" s="346"/>
      <c r="N74" s="346"/>
      <c r="O74" s="356"/>
      <c r="Q74" s="123"/>
      <c r="R74" s="123"/>
      <c r="S74" s="123"/>
      <c r="T74" s="123"/>
      <c r="U74" s="123"/>
      <c r="V74" s="123"/>
      <c r="W74" s="123"/>
      <c r="X74" s="123"/>
      <c r="Y74" s="123"/>
      <c r="Z74" s="123"/>
      <c r="AA74" s="123"/>
      <c r="AB74" s="123"/>
      <c r="AC74" s="123"/>
      <c r="AD74" s="123"/>
      <c r="AE74" s="123"/>
      <c r="AF74" s="123"/>
      <c r="AG74" s="123"/>
      <c r="AH74" s="123"/>
      <c r="AI74" s="123"/>
      <c r="AJ74" s="123"/>
    </row>
    <row r="75" spans="2:36" s="3" customFormat="1" ht="15" customHeight="1" x14ac:dyDescent="0.45">
      <c r="B75" s="346"/>
      <c r="C75" s="346"/>
      <c r="D75" s="346"/>
      <c r="E75" s="346"/>
      <c r="F75" s="346"/>
      <c r="G75" s="346"/>
      <c r="H75" s="346"/>
      <c r="I75" s="346"/>
      <c r="J75" s="346"/>
      <c r="K75" s="346"/>
      <c r="L75" s="346"/>
      <c r="M75" s="346"/>
      <c r="N75" s="346"/>
      <c r="O75" s="356"/>
      <c r="Q75" s="123"/>
      <c r="R75" s="123"/>
      <c r="S75" s="123"/>
      <c r="T75" s="123"/>
      <c r="U75" s="123"/>
      <c r="V75" s="123"/>
      <c r="W75" s="123"/>
      <c r="X75" s="123"/>
      <c r="Y75" s="123"/>
      <c r="Z75" s="123"/>
      <c r="AA75" s="123"/>
      <c r="AB75" s="123"/>
      <c r="AC75" s="123"/>
      <c r="AD75" s="123"/>
      <c r="AE75" s="123"/>
      <c r="AF75" s="123"/>
      <c r="AG75" s="123"/>
      <c r="AH75" s="123"/>
      <c r="AI75" s="123"/>
      <c r="AJ75" s="123"/>
    </row>
    <row r="76" spans="2:36" s="3" customFormat="1" ht="15" customHeight="1" x14ac:dyDescent="0.45">
      <c r="B76" s="346"/>
      <c r="C76" s="346"/>
      <c r="D76" s="346"/>
      <c r="E76" s="346"/>
      <c r="F76" s="346"/>
      <c r="G76" s="346"/>
      <c r="H76" s="346"/>
      <c r="I76" s="346"/>
      <c r="J76" s="346"/>
      <c r="K76" s="346"/>
      <c r="L76" s="346"/>
      <c r="M76" s="346"/>
      <c r="N76" s="346"/>
      <c r="O76" s="356"/>
      <c r="Q76" s="123"/>
      <c r="R76" s="123"/>
      <c r="S76" s="123"/>
      <c r="T76" s="123"/>
      <c r="U76" s="123"/>
      <c r="V76" s="123"/>
      <c r="W76" s="123"/>
      <c r="X76" s="123"/>
      <c r="Y76" s="123"/>
      <c r="Z76" s="123"/>
      <c r="AA76" s="123"/>
      <c r="AB76" s="123"/>
      <c r="AC76" s="123"/>
      <c r="AD76" s="123"/>
      <c r="AE76" s="123"/>
      <c r="AF76" s="123"/>
      <c r="AG76" s="123"/>
      <c r="AH76" s="123"/>
      <c r="AI76" s="123"/>
      <c r="AJ76" s="123"/>
    </row>
    <row r="77" spans="2:36" s="3" customFormat="1" ht="15" customHeight="1" x14ac:dyDescent="0.45">
      <c r="B77" s="346"/>
      <c r="C77" s="346"/>
      <c r="D77" s="346"/>
      <c r="E77" s="346"/>
      <c r="F77" s="346"/>
      <c r="G77" s="346"/>
      <c r="H77" s="346"/>
      <c r="I77" s="346"/>
      <c r="J77" s="346"/>
      <c r="K77" s="346"/>
      <c r="L77" s="346"/>
      <c r="M77" s="346"/>
      <c r="N77" s="346"/>
      <c r="O77" s="356"/>
      <c r="Q77" s="123"/>
      <c r="R77" s="123"/>
      <c r="S77" s="123"/>
      <c r="T77" s="123"/>
      <c r="U77" s="123"/>
      <c r="V77" s="123"/>
      <c r="W77" s="123"/>
      <c r="X77" s="123"/>
      <c r="Y77" s="123"/>
      <c r="Z77" s="123"/>
      <c r="AA77" s="123"/>
      <c r="AB77" s="123"/>
      <c r="AC77" s="123"/>
      <c r="AD77" s="123"/>
      <c r="AE77" s="123"/>
      <c r="AF77" s="123"/>
      <c r="AG77" s="123"/>
      <c r="AH77" s="123"/>
      <c r="AI77" s="123"/>
      <c r="AJ77" s="123"/>
    </row>
    <row r="78" spans="2:36" s="3" customFormat="1" ht="15" customHeight="1" x14ac:dyDescent="0.45">
      <c r="B78" s="346"/>
      <c r="C78" s="346"/>
      <c r="D78" s="346"/>
      <c r="E78" s="346"/>
      <c r="F78" s="346"/>
      <c r="G78" s="346"/>
      <c r="H78" s="346"/>
      <c r="I78" s="346"/>
      <c r="J78" s="346"/>
      <c r="K78" s="346"/>
      <c r="L78" s="346"/>
      <c r="M78" s="346"/>
      <c r="N78" s="346"/>
      <c r="O78" s="356"/>
      <c r="Q78" s="123"/>
      <c r="R78" s="123"/>
      <c r="S78" s="123"/>
      <c r="T78" s="123"/>
      <c r="U78" s="123"/>
      <c r="V78" s="123"/>
      <c r="W78" s="123"/>
      <c r="X78" s="123"/>
      <c r="Y78" s="123"/>
      <c r="Z78" s="123"/>
      <c r="AA78" s="123"/>
      <c r="AB78" s="123"/>
      <c r="AC78" s="123"/>
      <c r="AD78" s="123"/>
      <c r="AE78" s="123"/>
      <c r="AF78" s="123"/>
      <c r="AG78" s="123"/>
      <c r="AH78" s="123"/>
      <c r="AI78" s="123"/>
      <c r="AJ78" s="123"/>
    </row>
    <row r="79" spans="2:36" s="3" customFormat="1" ht="15" customHeight="1" x14ac:dyDescent="0.45">
      <c r="B79" s="346"/>
      <c r="C79" s="346"/>
      <c r="D79" s="346"/>
      <c r="E79" s="346"/>
      <c r="F79" s="346"/>
      <c r="G79" s="346"/>
      <c r="H79" s="346"/>
      <c r="I79" s="346"/>
      <c r="J79" s="346"/>
      <c r="K79" s="346"/>
      <c r="L79" s="346"/>
      <c r="M79" s="346"/>
      <c r="N79" s="346"/>
      <c r="O79" s="356"/>
      <c r="Q79" s="123"/>
      <c r="R79" s="123"/>
      <c r="S79" s="123"/>
      <c r="T79" s="123"/>
      <c r="U79" s="123"/>
      <c r="V79" s="123"/>
      <c r="W79" s="123"/>
      <c r="X79" s="123"/>
      <c r="Y79" s="123"/>
      <c r="Z79" s="123"/>
      <c r="AA79" s="123"/>
      <c r="AB79" s="123"/>
      <c r="AC79" s="123"/>
      <c r="AD79" s="123"/>
      <c r="AE79" s="123"/>
      <c r="AF79" s="123"/>
      <c r="AG79" s="123"/>
      <c r="AH79" s="123"/>
      <c r="AI79" s="123"/>
      <c r="AJ79" s="123"/>
    </row>
    <row r="80" spans="2:36" s="3" customFormat="1" ht="15" customHeight="1" x14ac:dyDescent="0.45">
      <c r="B80" s="346"/>
      <c r="C80" s="346"/>
      <c r="D80" s="346"/>
      <c r="E80" s="346"/>
      <c r="F80" s="346"/>
      <c r="G80" s="346"/>
      <c r="H80" s="346"/>
      <c r="I80" s="346"/>
      <c r="J80" s="346"/>
      <c r="K80" s="346"/>
      <c r="L80" s="346"/>
      <c r="M80" s="346"/>
      <c r="N80" s="346"/>
      <c r="O80" s="356"/>
      <c r="Q80" s="123"/>
      <c r="R80" s="123"/>
      <c r="S80" s="123"/>
      <c r="T80" s="123"/>
      <c r="U80" s="123"/>
      <c r="V80" s="123"/>
      <c r="W80" s="123"/>
      <c r="X80" s="123"/>
      <c r="Y80" s="123"/>
      <c r="Z80" s="123"/>
      <c r="AA80" s="123"/>
      <c r="AB80" s="123"/>
      <c r="AC80" s="123"/>
      <c r="AD80" s="123"/>
      <c r="AE80" s="123"/>
      <c r="AF80" s="123"/>
      <c r="AG80" s="123"/>
      <c r="AH80" s="123"/>
      <c r="AI80" s="123"/>
      <c r="AJ80" s="123"/>
    </row>
    <row r="81" spans="2:36" s="3" customFormat="1" ht="15" customHeight="1" x14ac:dyDescent="0.45">
      <c r="B81" s="346"/>
      <c r="C81" s="346"/>
      <c r="D81" s="346"/>
      <c r="E81" s="346"/>
      <c r="F81" s="346"/>
      <c r="G81" s="346"/>
      <c r="H81" s="346"/>
      <c r="I81" s="346"/>
      <c r="J81" s="346"/>
      <c r="K81" s="346"/>
      <c r="L81" s="346"/>
      <c r="M81" s="346"/>
      <c r="N81" s="346"/>
      <c r="O81" s="356"/>
      <c r="Q81" s="123"/>
      <c r="R81" s="123"/>
      <c r="S81" s="123"/>
      <c r="T81" s="123"/>
      <c r="U81" s="123"/>
      <c r="V81" s="123"/>
      <c r="W81" s="123"/>
      <c r="X81" s="123"/>
      <c r="Y81" s="123"/>
      <c r="Z81" s="123"/>
      <c r="AA81" s="123"/>
      <c r="AB81" s="123"/>
      <c r="AC81" s="123"/>
      <c r="AD81" s="123"/>
      <c r="AE81" s="123"/>
      <c r="AF81" s="123"/>
      <c r="AG81" s="123"/>
      <c r="AH81" s="123"/>
      <c r="AI81" s="123"/>
      <c r="AJ81" s="123"/>
    </row>
    <row r="82" spans="2:36" s="3" customFormat="1" ht="15" customHeight="1" x14ac:dyDescent="0.45">
      <c r="B82" s="346"/>
      <c r="C82" s="346"/>
      <c r="D82" s="346"/>
      <c r="E82" s="346"/>
      <c r="F82" s="346"/>
      <c r="G82" s="346"/>
      <c r="H82" s="346"/>
      <c r="I82" s="346"/>
      <c r="J82" s="346"/>
      <c r="K82" s="346"/>
      <c r="L82" s="346"/>
      <c r="M82" s="346"/>
      <c r="N82" s="346"/>
      <c r="O82" s="356"/>
      <c r="Q82" s="123"/>
      <c r="R82" s="123"/>
      <c r="S82" s="123"/>
      <c r="T82" s="123"/>
      <c r="U82" s="123"/>
      <c r="V82" s="123"/>
      <c r="W82" s="123"/>
      <c r="X82" s="123"/>
      <c r="Y82" s="123"/>
      <c r="Z82" s="123"/>
      <c r="AA82" s="123"/>
      <c r="AB82" s="123"/>
      <c r="AC82" s="123"/>
      <c r="AD82" s="123"/>
      <c r="AE82" s="123"/>
      <c r="AF82" s="123"/>
      <c r="AG82" s="123"/>
      <c r="AH82" s="123"/>
      <c r="AI82" s="123"/>
      <c r="AJ82" s="123"/>
    </row>
    <row r="83" spans="2:36" s="3" customFormat="1" ht="15" customHeight="1" x14ac:dyDescent="0.45">
      <c r="B83" s="346"/>
      <c r="C83" s="346"/>
      <c r="D83" s="346"/>
      <c r="E83" s="346"/>
      <c r="F83" s="346"/>
      <c r="G83" s="346"/>
      <c r="H83" s="346"/>
      <c r="I83" s="346"/>
      <c r="J83" s="346"/>
      <c r="K83" s="346"/>
      <c r="L83" s="346"/>
      <c r="M83" s="346"/>
      <c r="N83" s="346"/>
      <c r="O83" s="356"/>
      <c r="Q83" s="123"/>
      <c r="R83" s="123"/>
      <c r="S83" s="123"/>
      <c r="T83" s="123"/>
      <c r="U83" s="123"/>
      <c r="V83" s="123"/>
      <c r="W83" s="123"/>
      <c r="X83" s="123"/>
      <c r="Y83" s="123"/>
      <c r="Z83" s="123"/>
      <c r="AA83" s="123"/>
      <c r="AB83" s="123"/>
      <c r="AC83" s="123"/>
      <c r="AD83" s="123"/>
      <c r="AE83" s="123"/>
      <c r="AF83" s="123"/>
      <c r="AG83" s="123"/>
      <c r="AH83" s="123"/>
      <c r="AI83" s="123"/>
      <c r="AJ83" s="123"/>
    </row>
    <row r="84" spans="2:36" s="3" customFormat="1" ht="15" customHeight="1" x14ac:dyDescent="0.45">
      <c r="B84" s="346"/>
      <c r="C84" s="346"/>
      <c r="D84" s="346"/>
      <c r="E84" s="346"/>
      <c r="F84" s="346"/>
      <c r="G84" s="346"/>
      <c r="H84" s="346"/>
      <c r="I84" s="346"/>
      <c r="J84" s="346"/>
      <c r="K84" s="346"/>
      <c r="L84" s="346"/>
      <c r="M84" s="346"/>
      <c r="N84" s="346"/>
      <c r="O84" s="356"/>
      <c r="Q84" s="123"/>
      <c r="R84" s="123"/>
      <c r="S84" s="123"/>
      <c r="T84" s="123"/>
      <c r="U84" s="123"/>
      <c r="V84" s="123"/>
      <c r="W84" s="123"/>
      <c r="X84" s="123"/>
      <c r="Y84" s="123"/>
      <c r="Z84" s="123"/>
      <c r="AA84" s="123"/>
      <c r="AB84" s="123"/>
      <c r="AC84" s="123"/>
      <c r="AD84" s="123"/>
      <c r="AE84" s="123"/>
      <c r="AF84" s="123"/>
      <c r="AG84" s="123"/>
      <c r="AH84" s="123"/>
      <c r="AI84" s="123"/>
      <c r="AJ84" s="123"/>
    </row>
    <row r="85" spans="2:36" s="3" customFormat="1" ht="15" customHeight="1" x14ac:dyDescent="0.45">
      <c r="B85" s="346"/>
      <c r="C85" s="346"/>
      <c r="D85" s="346"/>
      <c r="E85" s="346"/>
      <c r="F85" s="346"/>
      <c r="G85" s="346"/>
      <c r="H85" s="346"/>
      <c r="I85" s="346"/>
      <c r="J85" s="346"/>
      <c r="K85" s="346"/>
      <c r="L85" s="346"/>
      <c r="M85" s="346"/>
      <c r="N85" s="346"/>
      <c r="O85" s="356"/>
      <c r="Q85" s="123"/>
      <c r="R85" s="123"/>
      <c r="S85" s="123"/>
      <c r="T85" s="123"/>
      <c r="U85" s="123"/>
      <c r="V85" s="123"/>
      <c r="W85" s="123"/>
      <c r="X85" s="123"/>
      <c r="Y85" s="123"/>
      <c r="Z85" s="123"/>
      <c r="AA85" s="123"/>
      <c r="AB85" s="123"/>
      <c r="AC85" s="123"/>
      <c r="AD85" s="123"/>
      <c r="AE85" s="123"/>
      <c r="AF85" s="123"/>
      <c r="AG85" s="123"/>
      <c r="AH85" s="123"/>
      <c r="AI85" s="123"/>
      <c r="AJ85" s="123"/>
    </row>
    <row r="86" spans="2:36" s="3" customFormat="1" ht="15" customHeight="1" x14ac:dyDescent="0.45">
      <c r="B86" s="346"/>
      <c r="C86" s="346"/>
      <c r="D86" s="346"/>
      <c r="E86" s="346"/>
      <c r="F86" s="346"/>
      <c r="G86" s="346"/>
      <c r="H86" s="346"/>
      <c r="I86" s="346"/>
      <c r="J86" s="346"/>
      <c r="K86" s="346"/>
      <c r="L86" s="346"/>
      <c r="M86" s="346"/>
      <c r="N86" s="346"/>
      <c r="O86" s="356"/>
      <c r="Q86" s="123"/>
      <c r="R86" s="123"/>
      <c r="S86" s="123"/>
      <c r="T86" s="123"/>
      <c r="U86" s="123"/>
      <c r="V86" s="123"/>
      <c r="W86" s="123"/>
      <c r="X86" s="123"/>
      <c r="Y86" s="123"/>
      <c r="Z86" s="123"/>
      <c r="AA86" s="123"/>
      <c r="AB86" s="123"/>
      <c r="AC86" s="123"/>
      <c r="AD86" s="123"/>
      <c r="AE86" s="123"/>
      <c r="AF86" s="123"/>
      <c r="AG86" s="123"/>
      <c r="AH86" s="123"/>
      <c r="AI86" s="123"/>
      <c r="AJ86" s="123"/>
    </row>
    <row r="87" spans="2:36" s="3" customFormat="1" ht="15" customHeight="1" x14ac:dyDescent="0.45">
      <c r="B87" s="346"/>
      <c r="C87" s="346"/>
      <c r="D87" s="346"/>
      <c r="E87" s="346"/>
      <c r="F87" s="346"/>
      <c r="G87" s="346"/>
      <c r="H87" s="346"/>
      <c r="I87" s="346"/>
      <c r="J87" s="346"/>
      <c r="K87" s="346"/>
      <c r="L87" s="346"/>
      <c r="M87" s="346"/>
      <c r="N87" s="346"/>
      <c r="O87" s="356"/>
      <c r="Q87" s="123"/>
      <c r="R87" s="123"/>
      <c r="S87" s="123"/>
      <c r="T87" s="123"/>
      <c r="U87" s="123"/>
      <c r="V87" s="123"/>
      <c r="W87" s="123"/>
      <c r="X87" s="123"/>
      <c r="Y87" s="123"/>
      <c r="Z87" s="123"/>
      <c r="AA87" s="123"/>
      <c r="AB87" s="123"/>
      <c r="AC87" s="123"/>
      <c r="AD87" s="123"/>
      <c r="AE87" s="123"/>
      <c r="AF87" s="123"/>
      <c r="AG87" s="123"/>
      <c r="AH87" s="123"/>
      <c r="AI87" s="123"/>
      <c r="AJ87" s="123"/>
    </row>
    <row r="88" spans="2:36" s="3" customFormat="1" ht="15" customHeight="1" x14ac:dyDescent="0.45">
      <c r="B88" s="346"/>
      <c r="C88" s="346"/>
      <c r="D88" s="346"/>
      <c r="E88" s="346"/>
      <c r="F88" s="346"/>
      <c r="G88" s="346"/>
      <c r="H88" s="346"/>
      <c r="I88" s="346"/>
      <c r="J88" s="346"/>
      <c r="K88" s="346"/>
      <c r="L88" s="346"/>
      <c r="M88" s="346"/>
      <c r="N88" s="346"/>
      <c r="O88" s="356"/>
      <c r="Q88" s="123"/>
      <c r="R88" s="123"/>
      <c r="S88" s="123"/>
      <c r="T88" s="123"/>
      <c r="U88" s="123"/>
      <c r="V88" s="123"/>
      <c r="W88" s="123"/>
      <c r="X88" s="123"/>
      <c r="Y88" s="123"/>
      <c r="Z88" s="123"/>
      <c r="AA88" s="123"/>
      <c r="AB88" s="123"/>
      <c r="AC88" s="123"/>
      <c r="AD88" s="123"/>
      <c r="AE88" s="123"/>
      <c r="AF88" s="123"/>
      <c r="AG88" s="123"/>
      <c r="AH88" s="123"/>
      <c r="AI88" s="123"/>
      <c r="AJ88" s="123"/>
    </row>
    <row r="89" spans="2:36" s="3" customFormat="1" ht="15" customHeight="1" x14ac:dyDescent="0.45">
      <c r="B89" s="346"/>
      <c r="C89" s="346"/>
      <c r="D89" s="346"/>
      <c r="E89" s="346"/>
      <c r="F89" s="346"/>
      <c r="G89" s="346"/>
      <c r="H89" s="346"/>
      <c r="I89" s="346"/>
      <c r="J89" s="346"/>
      <c r="K89" s="346"/>
      <c r="L89" s="346"/>
      <c r="M89" s="346"/>
      <c r="N89" s="346"/>
      <c r="O89" s="356"/>
      <c r="Q89" s="123"/>
      <c r="R89" s="123"/>
      <c r="S89" s="123"/>
      <c r="T89" s="123"/>
      <c r="U89" s="123"/>
      <c r="V89" s="123"/>
      <c r="W89" s="123"/>
      <c r="X89" s="123"/>
      <c r="Y89" s="123"/>
      <c r="Z89" s="123"/>
      <c r="AA89" s="123"/>
      <c r="AB89" s="123"/>
      <c r="AC89" s="123"/>
      <c r="AD89" s="123"/>
      <c r="AE89" s="123"/>
      <c r="AF89" s="123"/>
      <c r="AG89" s="123"/>
      <c r="AH89" s="123"/>
      <c r="AI89" s="123"/>
      <c r="AJ89" s="123"/>
    </row>
    <row r="90" spans="2:36" s="3" customFormat="1" ht="15" customHeight="1" x14ac:dyDescent="0.45">
      <c r="B90" s="346"/>
      <c r="C90" s="346"/>
      <c r="D90" s="346"/>
      <c r="E90" s="346"/>
      <c r="F90" s="346"/>
      <c r="G90" s="346"/>
      <c r="H90" s="346"/>
      <c r="I90" s="346"/>
      <c r="J90" s="346"/>
      <c r="K90" s="346"/>
      <c r="L90" s="346"/>
      <c r="M90" s="346"/>
      <c r="N90" s="346"/>
      <c r="O90" s="356"/>
      <c r="Q90" s="123"/>
      <c r="R90" s="123"/>
      <c r="S90" s="123"/>
      <c r="T90" s="123"/>
      <c r="U90" s="123"/>
      <c r="V90" s="123"/>
      <c r="W90" s="123"/>
      <c r="X90" s="123"/>
      <c r="Y90" s="123"/>
      <c r="Z90" s="123"/>
      <c r="AA90" s="123"/>
      <c r="AB90" s="123"/>
      <c r="AC90" s="123"/>
      <c r="AD90" s="123"/>
      <c r="AE90" s="123"/>
      <c r="AF90" s="123"/>
      <c r="AG90" s="123"/>
      <c r="AH90" s="123"/>
      <c r="AI90" s="123"/>
      <c r="AJ90" s="123"/>
    </row>
    <row r="91" spans="2:36" s="3" customFormat="1" ht="15" customHeight="1" x14ac:dyDescent="0.45">
      <c r="B91" s="346"/>
      <c r="C91" s="346"/>
      <c r="D91" s="346"/>
      <c r="E91" s="346"/>
      <c r="F91" s="346"/>
      <c r="G91" s="346"/>
      <c r="H91" s="346"/>
      <c r="I91" s="346"/>
      <c r="J91" s="346"/>
      <c r="K91" s="346"/>
      <c r="L91" s="346"/>
      <c r="M91" s="346"/>
      <c r="N91" s="346"/>
      <c r="O91" s="356"/>
      <c r="Q91" s="123"/>
      <c r="R91" s="123"/>
      <c r="S91" s="123"/>
      <c r="T91" s="123"/>
      <c r="U91" s="123"/>
      <c r="V91" s="123"/>
      <c r="W91" s="123"/>
      <c r="X91" s="123"/>
      <c r="Y91" s="123"/>
      <c r="Z91" s="123"/>
      <c r="AA91" s="123"/>
      <c r="AB91" s="123"/>
      <c r="AC91" s="123"/>
      <c r="AD91" s="123"/>
      <c r="AE91" s="123"/>
      <c r="AF91" s="123"/>
      <c r="AG91" s="123"/>
      <c r="AH91" s="123"/>
      <c r="AI91" s="123"/>
      <c r="AJ91" s="123"/>
    </row>
    <row r="92" spans="2:36" s="3" customFormat="1" ht="15" customHeight="1" x14ac:dyDescent="0.45">
      <c r="B92" s="346"/>
      <c r="C92" s="346"/>
      <c r="D92" s="346"/>
      <c r="E92" s="346"/>
      <c r="F92" s="346"/>
      <c r="G92" s="346"/>
      <c r="H92" s="346"/>
      <c r="I92" s="346"/>
      <c r="J92" s="346"/>
      <c r="K92" s="346"/>
      <c r="L92" s="346"/>
      <c r="M92" s="346"/>
      <c r="N92" s="346"/>
      <c r="O92" s="356"/>
      <c r="Q92" s="123"/>
      <c r="R92" s="123"/>
      <c r="S92" s="123"/>
      <c r="T92" s="123"/>
      <c r="U92" s="123"/>
      <c r="V92" s="123"/>
      <c r="W92" s="123"/>
      <c r="X92" s="123"/>
      <c r="Y92" s="123"/>
      <c r="Z92" s="123"/>
      <c r="AA92" s="123"/>
      <c r="AB92" s="123"/>
      <c r="AC92" s="123"/>
      <c r="AD92" s="123"/>
      <c r="AE92" s="123"/>
      <c r="AF92" s="123"/>
      <c r="AG92" s="123"/>
      <c r="AH92" s="123"/>
      <c r="AI92" s="123"/>
      <c r="AJ92" s="123"/>
    </row>
    <row r="93" spans="2:36" s="3" customFormat="1" ht="15" customHeight="1" x14ac:dyDescent="0.45">
      <c r="B93" s="346"/>
      <c r="C93" s="346"/>
      <c r="D93" s="346"/>
      <c r="E93" s="346"/>
      <c r="F93" s="346"/>
      <c r="G93" s="346"/>
      <c r="H93" s="346"/>
      <c r="I93" s="346"/>
      <c r="J93" s="346"/>
      <c r="K93" s="346"/>
      <c r="L93" s="346"/>
      <c r="M93" s="346"/>
      <c r="N93" s="346"/>
      <c r="O93" s="356"/>
      <c r="Q93" s="123"/>
      <c r="R93" s="123"/>
      <c r="S93" s="123"/>
      <c r="T93" s="123"/>
      <c r="U93" s="123"/>
      <c r="V93" s="123"/>
      <c r="W93" s="123"/>
      <c r="X93" s="123"/>
      <c r="Y93" s="123"/>
      <c r="Z93" s="123"/>
      <c r="AA93" s="123"/>
      <c r="AB93" s="123"/>
      <c r="AC93" s="123"/>
      <c r="AD93" s="123"/>
      <c r="AE93" s="123"/>
      <c r="AF93" s="123"/>
      <c r="AG93" s="123"/>
      <c r="AH93" s="123"/>
      <c r="AI93" s="123"/>
      <c r="AJ93" s="123"/>
    </row>
    <row r="94" spans="2:36" s="3" customFormat="1" ht="15" customHeight="1" x14ac:dyDescent="0.45">
      <c r="B94" s="346"/>
      <c r="C94" s="346"/>
      <c r="D94" s="346"/>
      <c r="E94" s="346"/>
      <c r="F94" s="346"/>
      <c r="G94" s="346"/>
      <c r="H94" s="346"/>
      <c r="I94" s="346"/>
      <c r="J94" s="346"/>
      <c r="K94" s="346"/>
      <c r="L94" s="346"/>
      <c r="M94" s="346"/>
      <c r="N94" s="346"/>
      <c r="O94" s="356"/>
      <c r="Q94" s="123"/>
      <c r="R94" s="123"/>
      <c r="S94" s="123"/>
      <c r="T94" s="123"/>
      <c r="U94" s="123"/>
      <c r="V94" s="123"/>
      <c r="W94" s="123"/>
      <c r="X94" s="123"/>
      <c r="Y94" s="123"/>
      <c r="Z94" s="123"/>
      <c r="AA94" s="123"/>
      <c r="AB94" s="123"/>
      <c r="AC94" s="123"/>
      <c r="AD94" s="123"/>
      <c r="AE94" s="123"/>
      <c r="AF94" s="123"/>
      <c r="AG94" s="123"/>
      <c r="AH94" s="123"/>
      <c r="AI94" s="123"/>
      <c r="AJ94" s="123"/>
    </row>
    <row r="95" spans="2:36" s="3" customFormat="1" ht="15" customHeight="1" x14ac:dyDescent="0.45">
      <c r="B95" s="346"/>
      <c r="C95" s="346"/>
      <c r="D95" s="346"/>
      <c r="E95" s="346"/>
      <c r="F95" s="346"/>
      <c r="G95" s="346"/>
      <c r="H95" s="346"/>
      <c r="I95" s="346"/>
      <c r="J95" s="346"/>
      <c r="K95" s="346"/>
      <c r="L95" s="346"/>
      <c r="M95" s="346"/>
      <c r="N95" s="346"/>
      <c r="O95" s="356"/>
      <c r="Q95" s="123"/>
      <c r="R95" s="123"/>
      <c r="S95" s="123"/>
      <c r="T95" s="123"/>
      <c r="U95" s="123"/>
      <c r="V95" s="123"/>
      <c r="W95" s="123"/>
      <c r="X95" s="123"/>
      <c r="Y95" s="123"/>
      <c r="Z95" s="123"/>
      <c r="AA95" s="123"/>
      <c r="AB95" s="123"/>
      <c r="AC95" s="123"/>
      <c r="AD95" s="123"/>
      <c r="AE95" s="123"/>
      <c r="AF95" s="123"/>
      <c r="AG95" s="123"/>
      <c r="AH95" s="123"/>
      <c r="AI95" s="123"/>
      <c r="AJ95" s="123"/>
    </row>
    <row r="96" spans="2:36" s="3" customFormat="1" ht="15" customHeight="1" x14ac:dyDescent="0.45">
      <c r="B96" s="346"/>
      <c r="C96" s="346"/>
      <c r="D96" s="346"/>
      <c r="E96" s="346"/>
      <c r="F96" s="346"/>
      <c r="G96" s="346"/>
      <c r="H96" s="346"/>
      <c r="I96" s="346"/>
      <c r="J96" s="346"/>
      <c r="K96" s="346"/>
      <c r="L96" s="346"/>
      <c r="M96" s="346"/>
      <c r="N96" s="346"/>
      <c r="O96" s="356"/>
      <c r="Q96" s="123"/>
      <c r="R96" s="123"/>
      <c r="S96" s="123"/>
      <c r="T96" s="123"/>
      <c r="U96" s="123"/>
      <c r="V96" s="123"/>
      <c r="W96" s="123"/>
      <c r="X96" s="123"/>
      <c r="Y96" s="123"/>
      <c r="Z96" s="123"/>
      <c r="AA96" s="123"/>
      <c r="AB96" s="123"/>
      <c r="AC96" s="123"/>
      <c r="AD96" s="123"/>
      <c r="AE96" s="123"/>
      <c r="AF96" s="123"/>
      <c r="AG96" s="123"/>
      <c r="AH96" s="123"/>
      <c r="AI96" s="123"/>
      <c r="AJ96" s="123"/>
    </row>
    <row r="97" spans="2:36" s="3" customFormat="1" ht="15" customHeight="1" x14ac:dyDescent="0.45">
      <c r="B97" s="346"/>
      <c r="C97" s="346"/>
      <c r="D97" s="346"/>
      <c r="E97" s="346"/>
      <c r="F97" s="346"/>
      <c r="G97" s="346"/>
      <c r="H97" s="346"/>
      <c r="I97" s="346"/>
      <c r="J97" s="346"/>
      <c r="K97" s="346"/>
      <c r="L97" s="346"/>
      <c r="M97" s="346"/>
      <c r="N97" s="346"/>
      <c r="O97" s="356"/>
      <c r="Q97" s="123"/>
      <c r="R97" s="123"/>
      <c r="S97" s="123"/>
      <c r="T97" s="123"/>
      <c r="U97" s="123"/>
      <c r="V97" s="123"/>
      <c r="W97" s="123"/>
      <c r="X97" s="123"/>
      <c r="Y97" s="123"/>
      <c r="Z97" s="123"/>
      <c r="AA97" s="123"/>
      <c r="AB97" s="123"/>
      <c r="AC97" s="123"/>
      <c r="AD97" s="123"/>
      <c r="AE97" s="123"/>
      <c r="AF97" s="123"/>
      <c r="AG97" s="123"/>
      <c r="AH97" s="123"/>
      <c r="AI97" s="123"/>
      <c r="AJ97" s="123"/>
    </row>
    <row r="98" spans="2:36" s="3" customFormat="1" ht="15" customHeight="1" x14ac:dyDescent="0.45">
      <c r="B98" s="346"/>
      <c r="C98" s="346"/>
      <c r="D98" s="346"/>
      <c r="E98" s="346"/>
      <c r="F98" s="346"/>
      <c r="G98" s="346"/>
      <c r="H98" s="346"/>
      <c r="I98" s="346"/>
      <c r="J98" s="346"/>
      <c r="K98" s="346"/>
      <c r="L98" s="346"/>
      <c r="M98" s="346"/>
      <c r="N98" s="346"/>
      <c r="O98" s="356"/>
      <c r="Q98" s="123"/>
      <c r="R98" s="123"/>
      <c r="S98" s="123"/>
      <c r="T98" s="123"/>
      <c r="U98" s="123"/>
      <c r="V98" s="123"/>
      <c r="W98" s="123"/>
      <c r="X98" s="123"/>
      <c r="Y98" s="123"/>
      <c r="Z98" s="123"/>
      <c r="AA98" s="123"/>
      <c r="AB98" s="123"/>
      <c r="AC98" s="123"/>
      <c r="AD98" s="123"/>
      <c r="AE98" s="123"/>
      <c r="AF98" s="123"/>
      <c r="AG98" s="123"/>
      <c r="AH98" s="123"/>
      <c r="AI98" s="123"/>
      <c r="AJ98" s="123"/>
    </row>
    <row r="99" spans="2:36" s="3" customFormat="1" ht="15" customHeight="1" x14ac:dyDescent="0.45">
      <c r="B99" s="346"/>
      <c r="C99" s="346"/>
      <c r="D99" s="346"/>
      <c r="E99" s="346"/>
      <c r="F99" s="346"/>
      <c r="G99" s="346"/>
      <c r="H99" s="346"/>
      <c r="I99" s="346"/>
      <c r="J99" s="346"/>
      <c r="K99" s="346"/>
      <c r="L99" s="346"/>
      <c r="M99" s="346"/>
      <c r="N99" s="346"/>
      <c r="O99" s="356"/>
      <c r="Q99" s="123"/>
      <c r="R99" s="123"/>
      <c r="S99" s="123"/>
      <c r="T99" s="123"/>
      <c r="U99" s="123"/>
      <c r="V99" s="123"/>
      <c r="W99" s="123"/>
      <c r="X99" s="123"/>
      <c r="Y99" s="123"/>
      <c r="Z99" s="123"/>
      <c r="AA99" s="123"/>
      <c r="AB99" s="123"/>
      <c r="AC99" s="123"/>
      <c r="AD99" s="123"/>
      <c r="AE99" s="123"/>
      <c r="AF99" s="123"/>
      <c r="AG99" s="123"/>
      <c r="AH99" s="123"/>
      <c r="AI99" s="123"/>
      <c r="AJ99" s="123"/>
    </row>
    <row r="100" spans="2:36" s="3" customFormat="1" ht="15" customHeight="1" x14ac:dyDescent="0.45">
      <c r="B100" s="346"/>
      <c r="C100" s="346"/>
      <c r="D100" s="346"/>
      <c r="E100" s="346"/>
      <c r="F100" s="346"/>
      <c r="G100" s="346"/>
      <c r="H100" s="346"/>
      <c r="I100" s="346"/>
      <c r="J100" s="346"/>
      <c r="K100" s="346"/>
      <c r="L100" s="346"/>
      <c r="M100" s="346"/>
      <c r="N100" s="346"/>
      <c r="O100" s="356"/>
      <c r="Q100" s="123"/>
      <c r="R100" s="123"/>
      <c r="S100" s="123"/>
      <c r="T100" s="123"/>
      <c r="U100" s="123"/>
      <c r="V100" s="123"/>
      <c r="W100" s="123"/>
      <c r="X100" s="123"/>
      <c r="Y100" s="123"/>
      <c r="Z100" s="123"/>
      <c r="AA100" s="123"/>
      <c r="AB100" s="123"/>
      <c r="AC100" s="123"/>
      <c r="AD100" s="123"/>
      <c r="AE100" s="123"/>
      <c r="AF100" s="123"/>
      <c r="AG100" s="123"/>
      <c r="AH100" s="123"/>
      <c r="AI100" s="123"/>
      <c r="AJ100" s="123"/>
    </row>
    <row r="101" spans="2:36" s="3" customFormat="1" ht="15" customHeight="1" x14ac:dyDescent="0.45">
      <c r="B101" s="346"/>
      <c r="C101" s="346"/>
      <c r="D101" s="346"/>
      <c r="E101" s="346"/>
      <c r="F101" s="346"/>
      <c r="G101" s="346"/>
      <c r="H101" s="346"/>
      <c r="I101" s="346"/>
      <c r="J101" s="346"/>
      <c r="K101" s="346"/>
      <c r="L101" s="346"/>
      <c r="M101" s="346"/>
      <c r="N101" s="346"/>
      <c r="O101" s="356"/>
      <c r="Q101" s="123"/>
      <c r="R101" s="123"/>
      <c r="S101" s="123"/>
      <c r="T101" s="123"/>
      <c r="U101" s="123"/>
      <c r="V101" s="123"/>
      <c r="W101" s="123"/>
      <c r="X101" s="123"/>
      <c r="Y101" s="123"/>
      <c r="Z101" s="123"/>
      <c r="AA101" s="123"/>
      <c r="AB101" s="123"/>
      <c r="AC101" s="123"/>
      <c r="AD101" s="123"/>
      <c r="AE101" s="123"/>
      <c r="AF101" s="123"/>
      <c r="AG101" s="123"/>
      <c r="AH101" s="123"/>
      <c r="AI101" s="123"/>
      <c r="AJ101" s="123"/>
    </row>
    <row r="102" spans="2:36" s="3" customFormat="1" ht="15" customHeight="1" x14ac:dyDescent="0.45">
      <c r="B102" s="346"/>
      <c r="C102" s="346"/>
      <c r="D102" s="346"/>
      <c r="E102" s="346"/>
      <c r="F102" s="346"/>
      <c r="G102" s="346"/>
      <c r="H102" s="346"/>
      <c r="I102" s="346"/>
      <c r="J102" s="346"/>
      <c r="K102" s="346"/>
      <c r="L102" s="346"/>
      <c r="M102" s="346"/>
      <c r="N102" s="346"/>
      <c r="O102" s="356"/>
      <c r="Q102" s="123"/>
      <c r="R102" s="123"/>
      <c r="S102" s="123"/>
      <c r="T102" s="123"/>
      <c r="U102" s="123"/>
      <c r="V102" s="123"/>
      <c r="W102" s="123"/>
      <c r="X102" s="123"/>
      <c r="Y102" s="123"/>
      <c r="Z102" s="123"/>
      <c r="AA102" s="123"/>
      <c r="AB102" s="123"/>
      <c r="AC102" s="123"/>
      <c r="AD102" s="123"/>
      <c r="AE102" s="123"/>
      <c r="AF102" s="123"/>
      <c r="AG102" s="123"/>
      <c r="AH102" s="123"/>
      <c r="AI102" s="123"/>
      <c r="AJ102" s="123"/>
    </row>
  </sheetData>
  <mergeCells count="50">
    <mergeCell ref="D24:H24"/>
    <mergeCell ref="D25:H25"/>
    <mergeCell ref="D26:H26"/>
    <mergeCell ref="C31:D31"/>
    <mergeCell ref="E31:F31"/>
    <mergeCell ref="C28:F28"/>
    <mergeCell ref="C29:D29"/>
    <mergeCell ref="E29:F29"/>
    <mergeCell ref="G29:G31"/>
    <mergeCell ref="C30:D30"/>
    <mergeCell ref="E30:F30"/>
    <mergeCell ref="N5:O5"/>
    <mergeCell ref="D12:H12"/>
    <mergeCell ref="B3:O4"/>
    <mergeCell ref="D27:H27"/>
    <mergeCell ref="B13:B31"/>
    <mergeCell ref="D13:H13"/>
    <mergeCell ref="D14:H14"/>
    <mergeCell ref="D15:H15"/>
    <mergeCell ref="D16:H16"/>
    <mergeCell ref="D17:H17"/>
    <mergeCell ref="D18:H18"/>
    <mergeCell ref="D19:H19"/>
    <mergeCell ref="D20:H20"/>
    <mergeCell ref="D21:H21"/>
    <mergeCell ref="D22:H22"/>
    <mergeCell ref="D23:H23"/>
    <mergeCell ref="D34:E34"/>
    <mergeCell ref="D35:E35"/>
    <mergeCell ref="C33:O33"/>
    <mergeCell ref="I34:O34"/>
    <mergeCell ref="I35:O35"/>
    <mergeCell ref="D36:E36"/>
    <mergeCell ref="D37:E37"/>
    <mergeCell ref="D38:E38"/>
    <mergeCell ref="I36:O36"/>
    <mergeCell ref="I37:O37"/>
    <mergeCell ref="I38:O38"/>
    <mergeCell ref="D39:E39"/>
    <mergeCell ref="D40:E40"/>
    <mergeCell ref="D41:E41"/>
    <mergeCell ref="I39:O39"/>
    <mergeCell ref="I40:O40"/>
    <mergeCell ref="I41:O41"/>
    <mergeCell ref="D42:E42"/>
    <mergeCell ref="D43:E43"/>
    <mergeCell ref="D44:E44"/>
    <mergeCell ref="I42:O42"/>
    <mergeCell ref="I43:O43"/>
    <mergeCell ref="I44:O44"/>
  </mergeCells>
  <conditionalFormatting sqref="C13:H13 I13:I14 M13:O14 D14:H14 C14:C27 D16:H19 I16:I26 M16:M26 N18:O25 K19:L26 D20:D25 N26 D26:H27">
    <cfRule type="expression" dxfId="39" priority="72" stopIfTrue="1">
      <formula>($M$9="Non-Automotive")</formula>
    </cfRule>
  </conditionalFormatting>
  <conditionalFormatting sqref="E29:F29">
    <cfRule type="containsText" dxfId="35" priority="1" operator="containsText" text="Conditional Approved">
      <formula>NOT(ISERROR(SEARCH("Conditional Approved",E29)))</formula>
    </cfRule>
    <cfRule type="containsText" dxfId="34" priority="2" operator="containsText" text="Rejected">
      <formula>NOT(ISERROR(SEARCH("Rejected",E29)))</formula>
    </cfRule>
    <cfRule type="containsText" dxfId="33" priority="3" operator="containsText" text="Approved">
      <formula>NOT(ISERROR(SEARCH("Approved",E29)))</formula>
    </cfRule>
    <cfRule type="containsText" dxfId="32" priority="4" operator="containsText" text="Completed">
      <formula>NOT(ISERROR(SEARCH("Completed",E29)))</formula>
    </cfRule>
    <cfRule type="containsText" dxfId="31" priority="5" operator="containsText" text="Launched">
      <formula>NOT(ISERROR(SEARCH("Launched",E29)))</formula>
    </cfRule>
    <cfRule type="containsText" dxfId="30" priority="6" operator="containsText" text="Not started">
      <formula>NOT(ISERROR(SEARCH("Not started",E29)))</formula>
    </cfRule>
  </conditionalFormatting>
  <conditionalFormatting sqref="J13:J27">
    <cfRule type="containsText" dxfId="29" priority="18" operator="containsText" text="Rejected">
      <formula>NOT(ISERROR(SEARCH("Rejected",J13)))</formula>
    </cfRule>
    <cfRule type="containsText" dxfId="28" priority="19" operator="containsText" text="Approved">
      <formula>NOT(ISERROR(SEARCH("Approved",J13)))</formula>
    </cfRule>
    <cfRule type="containsText" dxfId="27" priority="20" operator="containsText" text="Under Review">
      <formula>NOT(ISERROR(SEARCH("Under Review",J13)))</formula>
    </cfRule>
    <cfRule type="containsText" dxfId="26" priority="21" operator="containsText" text="Done">
      <formula>NOT(ISERROR(SEARCH("Done",J13)))</formula>
    </cfRule>
    <cfRule type="containsText" dxfId="25" priority="22" operator="containsText" text="Doing">
      <formula>NOT(ISERROR(SEARCH("Doing",J13)))</formula>
    </cfRule>
    <cfRule type="containsText" dxfId="24" priority="23" operator="containsText" text="Pending">
      <formula>NOT(ISERROR(SEARCH("Pending",J13)))</formula>
    </cfRule>
    <cfRule type="colorScale" priority="24">
      <colorScale>
        <cfvo type="min"/>
        <cfvo type="percentile" val="50"/>
        <cfvo type="max"/>
        <color rgb="FFF8696B"/>
        <color rgb="FFFFEB84"/>
        <color rgb="FF63BE7B"/>
      </colorScale>
    </cfRule>
  </conditionalFormatting>
  <dataValidations count="1">
    <dataValidation allowBlank="1" showInputMessage="1" showErrorMessage="1" sqref="M5 N6:N10 M11 M2 M45:M1048576 M32" xr:uid="{6B647E23-2981-47BA-A411-04E9535989BC}"/>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rowBreaks count="1" manualBreakCount="1">
    <brk id="11" min="1" max="25" man="1"/>
  </rowBreaks>
  <drawing r:id="rId2"/>
  <extLst>
    <ext xmlns:x14="http://schemas.microsoft.com/office/spreadsheetml/2009/9/main" uri="{78C0D931-6437-407d-A8EE-F0AAD7539E65}">
      <x14:conditionalFormattings>
        <x14:conditionalFormatting xmlns:xm="http://schemas.microsoft.com/office/excel/2006/main">
          <x14:cfRule type="containsText" priority="7" stopIfTrue="1" operator="containsText" id="{047434F0-50E7-46EB-BAAA-F9D13237CAE6}">
            <xm:f>NOT(ISERROR(SEARCH($Z$4,E29)))</xm:f>
            <xm:f>$Z$4</xm:f>
            <x14:dxf>
              <fill>
                <patternFill>
                  <bgColor rgb="FFFFFF99"/>
                </patternFill>
              </fill>
            </x14:dxf>
          </x14:cfRule>
          <x14:cfRule type="containsText" priority="8" stopIfTrue="1" operator="containsText" id="{188968CC-9823-4F24-BD0B-829D7D87C7D0}">
            <xm:f>NOT(ISERROR(SEARCH($Z$3,E29)))</xm:f>
            <xm:f>$Z$3</xm:f>
            <x14:dxf>
              <fill>
                <patternFill>
                  <bgColor rgb="FFFFCCCC"/>
                </patternFill>
              </fill>
            </x14:dxf>
          </x14:cfRule>
          <x14:cfRule type="containsText" priority="9" stopIfTrue="1" operator="containsText" id="{9BBA0429-5F05-4CC4-BAC2-974A7432ADC2}">
            <xm:f>NOT(ISERROR(SEARCH(#REF!,E29)))</xm:f>
            <xm:f>#REF!</xm:f>
            <x14:dxf>
              <fill>
                <patternFill>
                  <bgColor theme="9" tint="0.39994506668294322"/>
                </patternFill>
              </fill>
            </x14:dxf>
          </x14:cfRule>
          <xm:sqref>E29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2C92950A-E5FA-4218-9F98-4D299259FC69}">
          <x14:formula1>
            <xm:f>'1. Feasibility'!$Q$3:$Q$8</xm:f>
          </x14:formula1>
          <xm:sqref>J13:J27</xm:sqref>
        </x14:dataValidation>
        <x14:dataValidation type="list" allowBlank="1" showInputMessage="1" showErrorMessage="1" xr:uid="{88C9F725-BF12-4C5E-8D78-603196AA13B1}">
          <x14:formula1>
            <xm:f>'0.APQP GRC'!$Y$3:$Y$8</xm:f>
          </x14:formula1>
          <xm:sqref>E29:F29</xm:sqref>
        </x14:dataValidation>
        <x14:dataValidation type="list" allowBlank="1" showInputMessage="1" showErrorMessage="1" xr:uid="{FB91FC42-19C3-4005-82D5-CA7B6142078B}">
          <x14:formula1>
            <xm:f>'1. Feasibility'!$Y$4:$Y$5</xm:f>
          </x14:formula1>
          <xm:sqref>H35:H44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6493-F164-4456-A98D-B71792EAAD99}">
  <sheetPr codeName="Hoja9">
    <outlinePr summaryBelow="0" summaryRight="0"/>
    <pageSetUpPr fitToPage="1"/>
  </sheetPr>
  <dimension ref="A1:AT84"/>
  <sheetViews>
    <sheetView showGridLines="0" zoomScale="60" zoomScaleNormal="60" zoomScaleSheetLayoutView="40" zoomScalePageLayoutView="55" workbookViewId="0">
      <selection activeCell="E17" sqref="E17:F17"/>
    </sheetView>
  </sheetViews>
  <sheetFormatPr baseColWidth="10" defaultColWidth="0" defaultRowHeight="0" customHeight="1" zeroHeight="1" outlineLevelCol="1" x14ac:dyDescent="0.45"/>
  <cols>
    <col min="1" max="1" width="4.453125" style="3" customWidth="1"/>
    <col min="2" max="2" width="10.54296875" style="346" customWidth="1"/>
    <col min="3" max="5" width="10" style="346" customWidth="1"/>
    <col min="6" max="6" width="12.1796875" style="346" customWidth="1"/>
    <col min="7" max="7" width="26.81640625" style="346" customWidth="1"/>
    <col min="8" max="8" width="11.453125" style="346" customWidth="1"/>
    <col min="9" max="9" width="3.453125" style="346" customWidth="1"/>
    <col min="10" max="10" width="3.81640625" style="346" customWidth="1"/>
    <col min="11" max="11" width="5" style="346" customWidth="1"/>
    <col min="12" max="12" width="13.1796875" style="346" customWidth="1"/>
    <col min="13" max="13" width="48.1796875" style="346" customWidth="1" outlineLevel="1"/>
    <col min="14" max="14" width="21" style="346" customWidth="1" collapsed="1"/>
    <col min="15" max="16" width="18.81640625" style="346" customWidth="1"/>
    <col min="17" max="17" width="23" style="346" customWidth="1"/>
    <col min="18" max="18" width="18.1796875" style="346" customWidth="1" outlineLevel="1"/>
    <col min="19" max="19" width="44.81640625" style="356" customWidth="1" outlineLevel="1"/>
    <col min="20" max="20" width="4.1796875" style="3" customWidth="1" collapsed="1"/>
    <col min="21" max="21" width="20.1796875" style="123" hidden="1" customWidth="1"/>
    <col min="22" max="22" width="12.54296875" style="123" hidden="1" customWidth="1"/>
    <col min="23" max="27" width="11.54296875" style="123" hidden="1" customWidth="1"/>
    <col min="28" max="46" width="0" style="123" hidden="1" customWidth="1"/>
    <col min="47" max="16384" width="11.54296875" style="123" hidden="1"/>
  </cols>
  <sheetData>
    <row r="1" spans="2:29" ht="15" customHeight="1" x14ac:dyDescent="0.45"/>
    <row r="2" spans="2:29" ht="15" customHeight="1" thickBot="1" x14ac:dyDescent="0.5"/>
    <row r="3" spans="2:29" ht="15" customHeight="1" x14ac:dyDescent="0.3">
      <c r="B3" s="748" t="s">
        <v>465</v>
      </c>
      <c r="C3" s="702"/>
      <c r="D3" s="702"/>
      <c r="E3" s="702"/>
      <c r="F3" s="702"/>
      <c r="G3" s="702"/>
      <c r="H3" s="702"/>
      <c r="I3" s="702"/>
      <c r="J3" s="702"/>
      <c r="K3" s="702"/>
      <c r="L3" s="702"/>
      <c r="M3" s="702"/>
      <c r="N3" s="702"/>
      <c r="O3" s="702"/>
      <c r="P3" s="702"/>
      <c r="Q3" s="702"/>
      <c r="R3" s="702"/>
      <c r="S3" s="749"/>
      <c r="U3" s="123" t="s">
        <v>3</v>
      </c>
      <c r="V3" s="123" t="s">
        <v>4</v>
      </c>
      <c r="W3" s="123" t="s">
        <v>5</v>
      </c>
      <c r="Y3" s="123" t="s">
        <v>6</v>
      </c>
      <c r="AA3" s="123" t="s">
        <v>6</v>
      </c>
    </row>
    <row r="4" spans="2:29" ht="62.9" customHeight="1" thickBot="1" x14ac:dyDescent="0.35">
      <c r="B4" s="750"/>
      <c r="C4" s="703"/>
      <c r="D4" s="703"/>
      <c r="E4" s="703"/>
      <c r="F4" s="703"/>
      <c r="G4" s="703"/>
      <c r="H4" s="703"/>
      <c r="I4" s="703"/>
      <c r="J4" s="703"/>
      <c r="K4" s="703"/>
      <c r="L4" s="703"/>
      <c r="M4" s="703"/>
      <c r="N4" s="703"/>
      <c r="O4" s="703"/>
      <c r="P4" s="703"/>
      <c r="Q4" s="703"/>
      <c r="R4" s="703"/>
      <c r="S4" s="751"/>
      <c r="U4" s="123" t="s">
        <v>8</v>
      </c>
      <c r="V4" s="123" t="s">
        <v>9</v>
      </c>
      <c r="W4" s="123" t="s">
        <v>10</v>
      </c>
      <c r="Y4" s="123" t="s">
        <v>11</v>
      </c>
      <c r="AA4" s="123" t="s">
        <v>12</v>
      </c>
    </row>
    <row r="5" spans="2:29" ht="15" customHeight="1" x14ac:dyDescent="0.3">
      <c r="B5" s="357"/>
      <c r="C5" s="344"/>
      <c r="D5" s="344"/>
      <c r="E5" s="344"/>
      <c r="F5" s="344"/>
      <c r="G5" s="344"/>
      <c r="H5" s="344"/>
      <c r="I5" s="344"/>
      <c r="J5" s="344"/>
      <c r="K5" s="344"/>
      <c r="L5" s="344"/>
      <c r="M5" s="345"/>
      <c r="N5" s="425"/>
      <c r="O5" s="425"/>
      <c r="P5" s="425"/>
      <c r="Q5" s="425"/>
      <c r="R5" s="771"/>
      <c r="S5" s="772"/>
      <c r="V5" s="123" t="s">
        <v>14</v>
      </c>
      <c r="Y5" s="123" t="s">
        <v>15</v>
      </c>
      <c r="AA5" s="123" t="s">
        <v>16</v>
      </c>
    </row>
    <row r="6" spans="2:29" ht="15" customHeight="1" x14ac:dyDescent="0.45">
      <c r="B6" s="358"/>
      <c r="C6" s="348"/>
      <c r="D6" s="348"/>
      <c r="G6" s="347" t="s">
        <v>17</v>
      </c>
      <c r="H6" s="709" t="str">
        <f>_xlfn.CONCAT('0.APQP GRC'!D6:F6)</f>
        <v>Name Surname</v>
      </c>
      <c r="I6" s="709"/>
      <c r="J6" s="709"/>
      <c r="K6" s="709"/>
      <c r="L6" s="709"/>
      <c r="M6" s="349" t="s">
        <v>19</v>
      </c>
      <c r="N6" s="709" t="str">
        <f>_xlfn.CONCAT('0.APQP GRC'!H6,)</f>
        <v/>
      </c>
      <c r="O6" s="709"/>
      <c r="P6" s="518"/>
      <c r="Q6" s="466"/>
      <c r="R6" s="805"/>
      <c r="S6" s="806"/>
      <c r="AA6" s="123" t="s">
        <v>21</v>
      </c>
    </row>
    <row r="7" spans="2:29" ht="15" customHeight="1" x14ac:dyDescent="0.45">
      <c r="B7" s="358"/>
      <c r="C7" s="348"/>
      <c r="D7" s="348"/>
      <c r="G7" s="347" t="s">
        <v>22</v>
      </c>
      <c r="H7" s="709" t="str">
        <f>_xlfn.CONCAT('0.APQP GRC'!D7:F7)</f>
        <v>X-12345-678</v>
      </c>
      <c r="I7" s="709"/>
      <c r="J7" s="709"/>
      <c r="K7" s="709"/>
      <c r="L7" s="709"/>
      <c r="M7" s="350" t="s">
        <v>24</v>
      </c>
      <c r="N7" s="709" t="str">
        <f>_xlfn.CONCAT('0.APQP GRC'!H7,)</f>
        <v/>
      </c>
      <c r="O7" s="709"/>
      <c r="P7" s="518"/>
      <c r="Q7" s="467"/>
      <c r="R7" s="805"/>
      <c r="S7" s="806"/>
      <c r="T7" s="122"/>
      <c r="U7" s="124"/>
      <c r="V7" s="124"/>
      <c r="W7" s="124"/>
      <c r="X7" s="124"/>
      <c r="Z7" s="124"/>
      <c r="AA7" s="123" t="s">
        <v>26</v>
      </c>
      <c r="AB7" s="124"/>
      <c r="AC7" s="124"/>
    </row>
    <row r="8" spans="2:29" ht="15" customHeight="1" x14ac:dyDescent="0.45">
      <c r="B8" s="358"/>
      <c r="C8" s="348"/>
      <c r="D8" s="348"/>
      <c r="G8" s="347" t="s">
        <v>27</v>
      </c>
      <c r="H8" s="709" t="str">
        <f>_xlfn.CONCAT('0.APQP GRC'!D8:F8)</f>
        <v>RT23423AA</v>
      </c>
      <c r="I8" s="709"/>
      <c r="J8" s="709"/>
      <c r="K8" s="709"/>
      <c r="L8" s="709"/>
      <c r="M8" s="351" t="s">
        <v>426</v>
      </c>
      <c r="N8" s="709" t="str">
        <f>_xlfn.CONCAT('0.APQP GRC'!H8,)</f>
        <v>Name of the customer</v>
      </c>
      <c r="O8" s="709"/>
      <c r="P8" s="518"/>
      <c r="Q8" s="468"/>
      <c r="R8" s="805"/>
      <c r="S8" s="806"/>
      <c r="T8" s="122"/>
      <c r="U8" s="124"/>
      <c r="V8" s="124"/>
      <c r="W8" s="124"/>
      <c r="X8" s="124"/>
      <c r="Z8" s="124"/>
      <c r="AA8" s="124"/>
      <c r="AB8" s="124"/>
      <c r="AC8" s="124"/>
    </row>
    <row r="9" spans="2:29" ht="15" customHeight="1" x14ac:dyDescent="0.45">
      <c r="B9" s="358"/>
      <c r="C9" s="348"/>
      <c r="D9" s="348"/>
      <c r="G9" s="347" t="s">
        <v>31</v>
      </c>
      <c r="H9" s="709" t="str">
        <f>_xlfn.CONCAT('0.APQP GRC'!D9:F9)</f>
        <v/>
      </c>
      <c r="I9" s="709"/>
      <c r="J9" s="709"/>
      <c r="K9" s="709"/>
      <c r="L9" s="709"/>
      <c r="M9" s="351" t="s">
        <v>32</v>
      </c>
      <c r="N9" s="709" t="str">
        <f>_xlfn.CONCAT('0.APQP GRC'!H9,)</f>
        <v/>
      </c>
      <c r="O9" s="709"/>
      <c r="P9" s="518"/>
      <c r="Q9" s="469"/>
      <c r="R9" s="805"/>
      <c r="S9" s="806"/>
      <c r="T9" s="122"/>
      <c r="U9" s="124"/>
      <c r="V9" s="124"/>
      <c r="W9" s="124"/>
      <c r="X9" s="124"/>
      <c r="Y9" s="124"/>
      <c r="Z9" s="124"/>
      <c r="AA9" s="124"/>
      <c r="AB9" s="124"/>
      <c r="AC9" s="124"/>
    </row>
    <row r="10" spans="2:29" ht="15" customHeight="1" x14ac:dyDescent="0.45">
      <c r="B10" s="358"/>
      <c r="C10" s="348"/>
      <c r="D10" s="348"/>
      <c r="G10" s="347" t="s">
        <v>33</v>
      </c>
      <c r="H10" s="709" t="str">
        <f>_xlfn.CONCAT('0.APQP GRC'!D10:F10)</f>
        <v/>
      </c>
      <c r="I10" s="709"/>
      <c r="J10" s="709"/>
      <c r="K10" s="709"/>
      <c r="L10" s="709"/>
      <c r="M10" s="351" t="s">
        <v>34</v>
      </c>
      <c r="N10" s="709" t="str">
        <f>_xlfn.CONCAT('0.APQP GRC'!H10,)</f>
        <v/>
      </c>
      <c r="O10" s="709"/>
      <c r="P10" s="518"/>
      <c r="Q10" s="469"/>
      <c r="R10" s="805"/>
      <c r="S10" s="806"/>
      <c r="T10" s="122"/>
      <c r="U10" s="124"/>
      <c r="V10" s="124"/>
      <c r="W10" s="124"/>
      <c r="X10" s="124"/>
      <c r="Y10" s="124"/>
      <c r="Z10" s="124"/>
      <c r="AA10" s="124"/>
      <c r="AB10" s="124"/>
      <c r="AC10" s="124"/>
    </row>
    <row r="11" spans="2:29" ht="48" customHeight="1" thickBot="1" x14ac:dyDescent="0.5">
      <c r="B11" s="358"/>
      <c r="C11" s="345"/>
      <c r="D11" s="345"/>
      <c r="F11" s="345"/>
      <c r="G11" s="345"/>
      <c r="H11" s="345"/>
      <c r="I11" s="345"/>
      <c r="J11" s="345"/>
      <c r="K11" s="345"/>
      <c r="L11" s="345"/>
      <c r="M11" s="347"/>
      <c r="N11" s="433"/>
      <c r="O11" s="345"/>
      <c r="P11" s="345"/>
      <c r="Q11" s="345"/>
      <c r="R11" s="805"/>
      <c r="S11" s="806"/>
      <c r="T11" s="122"/>
      <c r="U11" s="124"/>
      <c r="V11" s="124"/>
      <c r="W11" s="124"/>
      <c r="X11" s="124"/>
      <c r="Y11" s="124"/>
      <c r="Z11" s="124"/>
      <c r="AA11" s="124"/>
      <c r="AB11" s="124"/>
      <c r="AC11" s="124"/>
    </row>
    <row r="12" spans="2:29" ht="48.65" customHeight="1" thickBot="1" x14ac:dyDescent="0.35">
      <c r="B12" s="485" t="s">
        <v>359</v>
      </c>
      <c r="C12" s="486" t="s">
        <v>427</v>
      </c>
      <c r="D12" s="817" t="s">
        <v>428</v>
      </c>
      <c r="E12" s="747"/>
      <c r="F12" s="747"/>
      <c r="G12" s="747"/>
      <c r="H12" s="747"/>
      <c r="I12" s="747"/>
      <c r="J12" s="747"/>
      <c r="K12" s="747"/>
      <c r="L12" s="818"/>
      <c r="M12" s="330" t="s">
        <v>36</v>
      </c>
      <c r="N12" s="331" t="s">
        <v>37</v>
      </c>
      <c r="O12" s="420" t="s">
        <v>38</v>
      </c>
      <c r="P12" s="517" t="s">
        <v>453</v>
      </c>
      <c r="Q12" s="334" t="s">
        <v>39</v>
      </c>
      <c r="R12" s="332" t="s">
        <v>40</v>
      </c>
      <c r="S12" s="335" t="s">
        <v>41</v>
      </c>
    </row>
    <row r="13" spans="2:29" ht="80.900000000000006" customHeight="1" x14ac:dyDescent="0.6">
      <c r="B13" s="760" t="s">
        <v>361</v>
      </c>
      <c r="C13" s="409" t="s">
        <v>362</v>
      </c>
      <c r="D13" s="815" t="s">
        <v>466</v>
      </c>
      <c r="E13" s="792"/>
      <c r="F13" s="792"/>
      <c r="G13" s="792"/>
      <c r="H13" s="792"/>
      <c r="I13" s="792"/>
      <c r="J13" s="792"/>
      <c r="K13" s="792"/>
      <c r="L13" s="792"/>
      <c r="M13" s="809" t="s">
        <v>467</v>
      </c>
      <c r="N13" s="503" t="s">
        <v>422</v>
      </c>
      <c r="O13" s="410"/>
      <c r="P13" s="410"/>
      <c r="Q13" s="411"/>
      <c r="R13" s="412"/>
      <c r="S13" s="812" t="s">
        <v>365</v>
      </c>
    </row>
    <row r="14" spans="2:29" ht="84" customHeight="1" x14ac:dyDescent="0.6">
      <c r="B14" s="761"/>
      <c r="C14" s="364" t="s">
        <v>371</v>
      </c>
      <c r="D14" s="766" t="s">
        <v>468</v>
      </c>
      <c r="E14" s="780"/>
      <c r="F14" s="780"/>
      <c r="G14" s="780"/>
      <c r="H14" s="780"/>
      <c r="I14" s="780"/>
      <c r="J14" s="780"/>
      <c r="K14" s="780"/>
      <c r="L14" s="780"/>
      <c r="M14" s="810"/>
      <c r="N14" s="503" t="s">
        <v>422</v>
      </c>
      <c r="O14" s="413"/>
      <c r="P14" s="413"/>
      <c r="Q14" s="414"/>
      <c r="R14" s="415"/>
      <c r="S14" s="813"/>
    </row>
    <row r="15" spans="2:29" ht="73.400000000000006" customHeight="1" thickBot="1" x14ac:dyDescent="0.65">
      <c r="B15" s="761"/>
      <c r="C15" s="416" t="s">
        <v>377</v>
      </c>
      <c r="D15" s="816" t="s">
        <v>378</v>
      </c>
      <c r="E15" s="791"/>
      <c r="F15" s="791"/>
      <c r="G15" s="791"/>
      <c r="H15" s="791"/>
      <c r="I15" s="791"/>
      <c r="J15" s="791"/>
      <c r="K15" s="791"/>
      <c r="L15" s="791"/>
      <c r="M15" s="811"/>
      <c r="N15" s="503" t="s">
        <v>422</v>
      </c>
      <c r="O15" s="417"/>
      <c r="P15" s="417"/>
      <c r="Q15" s="418"/>
      <c r="R15" s="419"/>
      <c r="S15" s="814"/>
      <c r="T15" s="3" t="s">
        <v>158</v>
      </c>
    </row>
    <row r="16" spans="2:29" ht="49.4" customHeight="1" thickBot="1" x14ac:dyDescent="0.35">
      <c r="B16" s="761"/>
      <c r="C16" s="785" t="s">
        <v>469</v>
      </c>
      <c r="D16" s="807"/>
      <c r="E16" s="807"/>
      <c r="F16" s="808"/>
      <c r="G16" s="475" t="s">
        <v>123</v>
      </c>
      <c r="H16" s="400"/>
      <c r="I16" s="400"/>
      <c r="J16" s="400"/>
      <c r="K16" s="400"/>
      <c r="L16" s="400"/>
      <c r="M16" s="400"/>
      <c r="N16" s="400"/>
      <c r="O16" s="400"/>
      <c r="P16" s="400"/>
      <c r="Q16" s="400"/>
      <c r="R16" s="400"/>
      <c r="S16" s="458"/>
    </row>
    <row r="17" spans="2:19" ht="15" customHeight="1" x14ac:dyDescent="0.3">
      <c r="B17" s="761"/>
      <c r="C17" s="668" t="s">
        <v>124</v>
      </c>
      <c r="D17" s="669"/>
      <c r="E17" s="576" t="s">
        <v>2</v>
      </c>
      <c r="F17" s="577"/>
      <c r="G17" s="794" t="s">
        <v>114</v>
      </c>
      <c r="H17" s="436"/>
      <c r="I17" s="676"/>
      <c r="J17" s="676"/>
      <c r="K17" s="636"/>
      <c r="L17" s="636"/>
      <c r="M17" s="437"/>
      <c r="N17" s="437"/>
      <c r="O17" s="437"/>
      <c r="P17" s="437"/>
      <c r="Q17" s="438"/>
      <c r="R17" s="437"/>
      <c r="S17" s="439"/>
    </row>
    <row r="18" spans="2:19" ht="15" customHeight="1" x14ac:dyDescent="0.3">
      <c r="B18" s="761"/>
      <c r="C18" s="677" t="s">
        <v>125</v>
      </c>
      <c r="D18" s="678"/>
      <c r="E18" s="679"/>
      <c r="F18" s="680"/>
      <c r="G18" s="795"/>
      <c r="H18" s="436"/>
      <c r="I18" s="636"/>
      <c r="J18" s="636"/>
      <c r="K18" s="636"/>
      <c r="L18" s="636"/>
      <c r="M18" s="437"/>
      <c r="N18" s="437"/>
      <c r="O18" s="437"/>
      <c r="P18" s="437"/>
      <c r="Q18" s="437"/>
      <c r="R18" s="437"/>
      <c r="S18" s="439"/>
    </row>
    <row r="19" spans="2:19" ht="24" customHeight="1" thickBot="1" x14ac:dyDescent="0.35">
      <c r="B19" s="762"/>
      <c r="C19" s="654" t="s">
        <v>126</v>
      </c>
      <c r="D19" s="655"/>
      <c r="E19" s="656"/>
      <c r="F19" s="657"/>
      <c r="G19" s="796"/>
      <c r="H19" s="401"/>
      <c r="I19" s="658"/>
      <c r="J19" s="658"/>
      <c r="K19" s="658"/>
      <c r="L19" s="658"/>
      <c r="M19" s="402"/>
      <c r="N19" s="402"/>
      <c r="O19" s="402"/>
      <c r="P19" s="402"/>
      <c r="Q19" s="402"/>
      <c r="R19" s="402"/>
      <c r="S19" s="440"/>
    </row>
    <row r="20" spans="2:19" ht="15" customHeight="1" thickBot="1" x14ac:dyDescent="0.5"/>
    <row r="21" spans="2:19" s="3" customFormat="1" ht="21.65" customHeight="1" thickTop="1" x14ac:dyDescent="0.3">
      <c r="C21" s="802" t="s">
        <v>710</v>
      </c>
      <c r="D21" s="803"/>
      <c r="E21" s="803"/>
      <c r="F21" s="803"/>
      <c r="G21" s="803"/>
      <c r="H21" s="803"/>
      <c r="I21" s="803"/>
      <c r="J21" s="803"/>
      <c r="K21" s="803"/>
      <c r="L21" s="803"/>
      <c r="M21" s="803"/>
      <c r="N21" s="803"/>
      <c r="O21" s="803"/>
      <c r="P21" s="803"/>
      <c r="Q21" s="803"/>
      <c r="R21" s="803"/>
      <c r="S21" s="804"/>
    </row>
    <row r="22" spans="2:19" s="527" customFormat="1" ht="20.5" customHeight="1" x14ac:dyDescent="0.35">
      <c r="C22" s="534" t="s">
        <v>427</v>
      </c>
      <c r="D22" s="797" t="s">
        <v>711</v>
      </c>
      <c r="E22" s="798"/>
      <c r="F22" s="535" t="s">
        <v>712</v>
      </c>
      <c r="G22" s="535" t="s">
        <v>715</v>
      </c>
      <c r="H22" s="535" t="s">
        <v>713</v>
      </c>
      <c r="I22" s="799" t="s">
        <v>714</v>
      </c>
      <c r="J22" s="800"/>
      <c r="K22" s="800"/>
      <c r="L22" s="800"/>
      <c r="M22" s="800"/>
      <c r="N22" s="800"/>
      <c r="O22" s="800"/>
      <c r="P22" s="800"/>
      <c r="Q22" s="800"/>
      <c r="R22" s="800"/>
      <c r="S22" s="801"/>
    </row>
    <row r="23" spans="2:19" s="527" customFormat="1" ht="20.5" customHeight="1" x14ac:dyDescent="0.35">
      <c r="C23" s="529">
        <v>1</v>
      </c>
      <c r="D23" s="718"/>
      <c r="E23" s="767"/>
      <c r="F23" s="176"/>
      <c r="G23" s="176"/>
      <c r="H23" s="176"/>
      <c r="I23" s="718"/>
      <c r="J23" s="719"/>
      <c r="K23" s="719"/>
      <c r="L23" s="719"/>
      <c r="M23" s="719"/>
      <c r="N23" s="719"/>
      <c r="O23" s="719"/>
      <c r="P23" s="719"/>
      <c r="Q23" s="719"/>
      <c r="R23" s="719"/>
      <c r="S23" s="720"/>
    </row>
    <row r="24" spans="2:19" s="527" customFormat="1" ht="20.5" customHeight="1" x14ac:dyDescent="0.35">
      <c r="C24" s="529">
        <v>2</v>
      </c>
      <c r="D24" s="718"/>
      <c r="E24" s="767"/>
      <c r="F24" s="176"/>
      <c r="G24" s="176"/>
      <c r="H24" s="176"/>
      <c r="I24" s="718"/>
      <c r="J24" s="719"/>
      <c r="K24" s="719"/>
      <c r="L24" s="719"/>
      <c r="M24" s="719"/>
      <c r="N24" s="719"/>
      <c r="O24" s="719"/>
      <c r="P24" s="719"/>
      <c r="Q24" s="719"/>
      <c r="R24" s="719"/>
      <c r="S24" s="720"/>
    </row>
    <row r="25" spans="2:19" s="527" customFormat="1" ht="20.5" customHeight="1" x14ac:dyDescent="0.35">
      <c r="C25" s="529">
        <v>3</v>
      </c>
      <c r="D25" s="718"/>
      <c r="E25" s="767"/>
      <c r="F25" s="176"/>
      <c r="G25" s="176"/>
      <c r="H25" s="176"/>
      <c r="I25" s="718"/>
      <c r="J25" s="719"/>
      <c r="K25" s="719"/>
      <c r="L25" s="719"/>
      <c r="M25" s="719"/>
      <c r="N25" s="719"/>
      <c r="O25" s="719"/>
      <c r="P25" s="719"/>
      <c r="Q25" s="719"/>
      <c r="R25" s="719"/>
      <c r="S25" s="720"/>
    </row>
    <row r="26" spans="2:19" s="527" customFormat="1" ht="20.5" customHeight="1" x14ac:dyDescent="0.35">
      <c r="C26" s="529">
        <v>4</v>
      </c>
      <c r="D26" s="718"/>
      <c r="E26" s="767"/>
      <c r="F26" s="176"/>
      <c r="G26" s="176"/>
      <c r="H26" s="176"/>
      <c r="I26" s="718"/>
      <c r="J26" s="719"/>
      <c r="K26" s="719"/>
      <c r="L26" s="719"/>
      <c r="M26" s="719"/>
      <c r="N26" s="719"/>
      <c r="O26" s="719"/>
      <c r="P26" s="719"/>
      <c r="Q26" s="719"/>
      <c r="R26" s="719"/>
      <c r="S26" s="720"/>
    </row>
    <row r="27" spans="2:19" s="527" customFormat="1" ht="20.5" customHeight="1" x14ac:dyDescent="0.35">
      <c r="C27" s="529">
        <v>5</v>
      </c>
      <c r="D27" s="718"/>
      <c r="E27" s="767"/>
      <c r="F27" s="176"/>
      <c r="G27" s="176"/>
      <c r="H27" s="176"/>
      <c r="I27" s="718"/>
      <c r="J27" s="719"/>
      <c r="K27" s="719"/>
      <c r="L27" s="719"/>
      <c r="M27" s="719"/>
      <c r="N27" s="719"/>
      <c r="O27" s="719"/>
      <c r="P27" s="719"/>
      <c r="Q27" s="719"/>
      <c r="R27" s="719"/>
      <c r="S27" s="720"/>
    </row>
    <row r="28" spans="2:19" s="527" customFormat="1" ht="20.5" customHeight="1" x14ac:dyDescent="0.35">
      <c r="C28" s="529">
        <v>6</v>
      </c>
      <c r="D28" s="718"/>
      <c r="E28" s="767"/>
      <c r="F28" s="176"/>
      <c r="G28" s="176"/>
      <c r="H28" s="176"/>
      <c r="I28" s="718"/>
      <c r="J28" s="719"/>
      <c r="K28" s="719"/>
      <c r="L28" s="719"/>
      <c r="M28" s="719"/>
      <c r="N28" s="719"/>
      <c r="O28" s="719"/>
      <c r="P28" s="719"/>
      <c r="Q28" s="719"/>
      <c r="R28" s="719"/>
      <c r="S28" s="720"/>
    </row>
    <row r="29" spans="2:19" s="527" customFormat="1" ht="20.5" customHeight="1" x14ac:dyDescent="0.35">
      <c r="C29" s="529">
        <v>7</v>
      </c>
      <c r="D29" s="718"/>
      <c r="E29" s="767"/>
      <c r="F29" s="176"/>
      <c r="G29" s="176"/>
      <c r="H29" s="176"/>
      <c r="I29" s="718"/>
      <c r="J29" s="719"/>
      <c r="K29" s="719"/>
      <c r="L29" s="719"/>
      <c r="M29" s="719"/>
      <c r="N29" s="719"/>
      <c r="O29" s="719"/>
      <c r="P29" s="719"/>
      <c r="Q29" s="719"/>
      <c r="R29" s="719"/>
      <c r="S29" s="720"/>
    </row>
    <row r="30" spans="2:19" s="527" customFormat="1" ht="20.5" customHeight="1" x14ac:dyDescent="0.35">
      <c r="C30" s="529">
        <v>8</v>
      </c>
      <c r="D30" s="718"/>
      <c r="E30" s="767"/>
      <c r="F30" s="176"/>
      <c r="G30" s="176"/>
      <c r="H30" s="176"/>
      <c r="I30" s="718"/>
      <c r="J30" s="719"/>
      <c r="K30" s="719"/>
      <c r="L30" s="719"/>
      <c r="M30" s="719"/>
      <c r="N30" s="719"/>
      <c r="O30" s="719"/>
      <c r="P30" s="719"/>
      <c r="Q30" s="719"/>
      <c r="R30" s="719"/>
      <c r="S30" s="720"/>
    </row>
    <row r="31" spans="2:19" s="527" customFormat="1" ht="20.5" customHeight="1" x14ac:dyDescent="0.35">
      <c r="C31" s="529">
        <v>9</v>
      </c>
      <c r="D31" s="718"/>
      <c r="E31" s="767"/>
      <c r="F31" s="176"/>
      <c r="G31" s="176"/>
      <c r="H31" s="176"/>
      <c r="I31" s="718"/>
      <c r="J31" s="719"/>
      <c r="K31" s="719"/>
      <c r="L31" s="719"/>
      <c r="M31" s="719"/>
      <c r="N31" s="719"/>
      <c r="O31" s="719"/>
      <c r="P31" s="719"/>
      <c r="Q31" s="719"/>
      <c r="R31" s="719"/>
      <c r="S31" s="720"/>
    </row>
    <row r="32" spans="2:19" s="527" customFormat="1" ht="20.5" customHeight="1" thickBot="1" x14ac:dyDescent="0.4">
      <c r="C32" s="532">
        <v>10</v>
      </c>
      <c r="D32" s="716"/>
      <c r="E32" s="717"/>
      <c r="F32" s="533"/>
      <c r="G32" s="533"/>
      <c r="H32" s="533"/>
      <c r="I32" s="716"/>
      <c r="J32" s="721"/>
      <c r="K32" s="721"/>
      <c r="L32" s="721"/>
      <c r="M32" s="721"/>
      <c r="N32" s="721"/>
      <c r="O32" s="721"/>
      <c r="P32" s="721"/>
      <c r="Q32" s="721"/>
      <c r="R32" s="721"/>
      <c r="S32" s="722"/>
    </row>
    <row r="33" spans="2:40" s="3" customFormat="1" ht="15" customHeight="1" thickTop="1" x14ac:dyDescent="0.45">
      <c r="B33" s="346"/>
      <c r="C33" s="346"/>
      <c r="D33" s="346"/>
      <c r="E33" s="346"/>
      <c r="F33" s="346"/>
      <c r="G33" s="346"/>
      <c r="H33" s="346"/>
      <c r="I33" s="346"/>
      <c r="J33" s="346"/>
      <c r="K33" s="346"/>
      <c r="L33" s="346"/>
      <c r="M33" s="346"/>
      <c r="N33" s="346"/>
      <c r="O33" s="346"/>
      <c r="P33" s="346"/>
      <c r="Q33" s="346"/>
      <c r="R33" s="346"/>
      <c r="S33" s="356"/>
      <c r="U33" s="123"/>
      <c r="V33" s="123"/>
      <c r="W33" s="123"/>
      <c r="X33" s="123"/>
      <c r="Y33" s="123"/>
      <c r="Z33" s="123"/>
      <c r="AA33" s="123"/>
      <c r="AB33" s="123"/>
      <c r="AC33" s="123"/>
      <c r="AD33" s="123"/>
      <c r="AE33" s="123"/>
      <c r="AF33" s="123"/>
      <c r="AG33" s="123"/>
      <c r="AH33" s="123"/>
      <c r="AI33" s="123"/>
      <c r="AJ33" s="123"/>
      <c r="AK33" s="123"/>
      <c r="AL33" s="123"/>
      <c r="AM33" s="123"/>
      <c r="AN33" s="123"/>
    </row>
    <row r="34" spans="2:40" s="3" customFormat="1" ht="15" customHeight="1" x14ac:dyDescent="0.45">
      <c r="B34" s="346"/>
      <c r="C34" s="346"/>
      <c r="D34" s="346"/>
      <c r="E34" s="346"/>
      <c r="F34" s="346"/>
      <c r="G34" s="346"/>
      <c r="H34" s="346"/>
      <c r="I34" s="346"/>
      <c r="J34" s="346"/>
      <c r="K34" s="346"/>
      <c r="L34" s="346"/>
      <c r="M34" s="346"/>
      <c r="N34" s="346"/>
      <c r="O34" s="346"/>
      <c r="P34" s="346"/>
      <c r="Q34" s="346"/>
      <c r="R34" s="346"/>
      <c r="S34" s="356"/>
      <c r="U34" s="123"/>
      <c r="V34" s="123"/>
      <c r="W34" s="123"/>
      <c r="X34" s="123"/>
      <c r="Y34" s="123"/>
      <c r="Z34" s="123"/>
      <c r="AA34" s="123"/>
      <c r="AB34" s="123"/>
      <c r="AC34" s="123"/>
      <c r="AD34" s="123"/>
      <c r="AE34" s="123"/>
      <c r="AF34" s="123"/>
      <c r="AG34" s="123"/>
      <c r="AH34" s="123"/>
      <c r="AI34" s="123"/>
      <c r="AJ34" s="123"/>
      <c r="AK34" s="123"/>
      <c r="AL34" s="123"/>
      <c r="AM34" s="123"/>
      <c r="AN34" s="123"/>
    </row>
    <row r="35" spans="2:40" s="3" customFormat="1" ht="15" customHeight="1" x14ac:dyDescent="0.45">
      <c r="B35" s="346"/>
      <c r="C35" s="346"/>
      <c r="D35" s="346"/>
      <c r="E35" s="346"/>
      <c r="F35" s="346"/>
      <c r="G35" s="346"/>
      <c r="H35" s="346"/>
      <c r="I35" s="346"/>
      <c r="J35" s="346"/>
      <c r="K35" s="346"/>
      <c r="L35" s="346"/>
      <c r="M35" s="346"/>
      <c r="N35" s="346"/>
      <c r="O35" s="346"/>
      <c r="P35" s="346"/>
      <c r="Q35" s="346"/>
      <c r="R35" s="346"/>
      <c r="S35" s="356"/>
      <c r="U35" s="123"/>
      <c r="V35" s="123"/>
      <c r="W35" s="123"/>
      <c r="X35" s="123"/>
      <c r="Y35" s="123"/>
      <c r="Z35" s="123"/>
      <c r="AA35" s="123"/>
      <c r="AB35" s="123"/>
      <c r="AC35" s="123"/>
      <c r="AD35" s="123"/>
      <c r="AE35" s="123"/>
      <c r="AF35" s="123"/>
      <c r="AG35" s="123"/>
      <c r="AH35" s="123"/>
      <c r="AI35" s="123"/>
      <c r="AJ35" s="123"/>
      <c r="AK35" s="123"/>
      <c r="AL35" s="123"/>
      <c r="AM35" s="123"/>
      <c r="AN35" s="123"/>
    </row>
    <row r="36" spans="2:40" s="3" customFormat="1" ht="15" customHeight="1" x14ac:dyDescent="0.45">
      <c r="B36" s="346"/>
      <c r="C36" s="346"/>
      <c r="D36" s="346"/>
      <c r="E36" s="346"/>
      <c r="F36" s="346"/>
      <c r="G36" s="346"/>
      <c r="H36" s="346"/>
      <c r="I36" s="346"/>
      <c r="J36" s="346"/>
      <c r="K36" s="346"/>
      <c r="L36" s="346"/>
      <c r="M36" s="346"/>
      <c r="N36" s="346"/>
      <c r="O36" s="346"/>
      <c r="P36" s="346"/>
      <c r="Q36" s="346"/>
      <c r="R36" s="346"/>
      <c r="S36" s="356"/>
      <c r="U36" s="123"/>
      <c r="V36" s="123"/>
      <c r="W36" s="123"/>
      <c r="X36" s="123"/>
      <c r="Y36" s="123"/>
      <c r="Z36" s="123"/>
      <c r="AA36" s="123"/>
      <c r="AB36" s="123"/>
      <c r="AC36" s="123"/>
      <c r="AD36" s="123"/>
      <c r="AE36" s="123"/>
      <c r="AF36" s="123"/>
      <c r="AG36" s="123"/>
      <c r="AH36" s="123"/>
      <c r="AI36" s="123"/>
      <c r="AJ36" s="123"/>
      <c r="AK36" s="123"/>
      <c r="AL36" s="123"/>
      <c r="AM36" s="123"/>
      <c r="AN36" s="123"/>
    </row>
    <row r="37" spans="2:40" s="3" customFormat="1" ht="15" customHeight="1" x14ac:dyDescent="0.45">
      <c r="B37" s="346"/>
      <c r="C37" s="346"/>
      <c r="D37" s="346"/>
      <c r="E37" s="346"/>
      <c r="F37" s="346"/>
      <c r="G37" s="346"/>
      <c r="H37" s="346"/>
      <c r="I37" s="346"/>
      <c r="J37" s="346"/>
      <c r="K37" s="346"/>
      <c r="L37" s="346"/>
      <c r="M37" s="346"/>
      <c r="N37" s="346"/>
      <c r="O37" s="346"/>
      <c r="P37" s="346"/>
      <c r="Q37" s="346"/>
      <c r="R37" s="346"/>
      <c r="S37" s="356"/>
      <c r="U37" s="123"/>
      <c r="V37" s="123"/>
      <c r="W37" s="123"/>
      <c r="X37" s="123"/>
      <c r="Y37" s="123"/>
      <c r="Z37" s="123"/>
      <c r="AA37" s="123"/>
      <c r="AB37" s="123"/>
      <c r="AC37" s="123"/>
      <c r="AD37" s="123"/>
      <c r="AE37" s="123"/>
      <c r="AF37" s="123"/>
      <c r="AG37" s="123"/>
      <c r="AH37" s="123"/>
      <c r="AI37" s="123"/>
      <c r="AJ37" s="123"/>
      <c r="AK37" s="123"/>
      <c r="AL37" s="123"/>
      <c r="AM37" s="123"/>
      <c r="AN37" s="123"/>
    </row>
    <row r="38" spans="2:40" s="3" customFormat="1" ht="15" customHeight="1" x14ac:dyDescent="0.45">
      <c r="B38" s="346"/>
      <c r="C38" s="346"/>
      <c r="D38" s="346"/>
      <c r="E38" s="346"/>
      <c r="F38" s="346"/>
      <c r="G38" s="346"/>
      <c r="H38" s="346"/>
      <c r="I38" s="346"/>
      <c r="J38" s="346"/>
      <c r="K38" s="346"/>
      <c r="L38" s="346"/>
      <c r="M38" s="346"/>
      <c r="N38" s="346"/>
      <c r="O38" s="346"/>
      <c r="P38" s="346"/>
      <c r="Q38" s="346"/>
      <c r="R38" s="346"/>
      <c r="S38" s="356"/>
      <c r="U38" s="123"/>
      <c r="V38" s="123"/>
      <c r="W38" s="123"/>
      <c r="X38" s="123"/>
      <c r="Y38" s="123"/>
      <c r="Z38" s="123"/>
      <c r="AA38" s="123"/>
      <c r="AB38" s="123"/>
      <c r="AC38" s="123"/>
      <c r="AD38" s="123"/>
      <c r="AE38" s="123"/>
      <c r="AF38" s="123"/>
      <c r="AG38" s="123"/>
      <c r="AH38" s="123"/>
      <c r="AI38" s="123"/>
      <c r="AJ38" s="123"/>
      <c r="AK38" s="123"/>
      <c r="AL38" s="123"/>
      <c r="AM38" s="123"/>
      <c r="AN38" s="123"/>
    </row>
    <row r="39" spans="2:40" s="3" customFormat="1" ht="15" customHeight="1" x14ac:dyDescent="0.45">
      <c r="B39" s="346"/>
      <c r="C39" s="346"/>
      <c r="D39" s="346"/>
      <c r="E39" s="346"/>
      <c r="F39" s="346"/>
      <c r="G39" s="346"/>
      <c r="H39" s="346"/>
      <c r="I39" s="346"/>
      <c r="J39" s="346"/>
      <c r="K39" s="346"/>
      <c r="L39" s="346"/>
      <c r="M39" s="346"/>
      <c r="N39" s="346"/>
      <c r="O39" s="346"/>
      <c r="P39" s="346"/>
      <c r="Q39" s="346"/>
      <c r="R39" s="346"/>
      <c r="S39" s="356"/>
      <c r="U39" s="123"/>
      <c r="V39" s="123"/>
      <c r="W39" s="123"/>
      <c r="X39" s="123"/>
      <c r="Y39" s="123"/>
      <c r="Z39" s="123"/>
      <c r="AA39" s="123"/>
      <c r="AB39" s="123"/>
      <c r="AC39" s="123"/>
      <c r="AD39" s="123"/>
      <c r="AE39" s="123"/>
      <c r="AF39" s="123"/>
      <c r="AG39" s="123"/>
      <c r="AH39" s="123"/>
      <c r="AI39" s="123"/>
      <c r="AJ39" s="123"/>
      <c r="AK39" s="123"/>
      <c r="AL39" s="123"/>
      <c r="AM39" s="123"/>
      <c r="AN39" s="123"/>
    </row>
    <row r="40" spans="2:40" s="3" customFormat="1" ht="15" customHeight="1" x14ac:dyDescent="0.45">
      <c r="B40" s="346"/>
      <c r="C40" s="346"/>
      <c r="D40" s="346"/>
      <c r="E40" s="346"/>
      <c r="F40" s="346"/>
      <c r="G40" s="346"/>
      <c r="H40" s="346"/>
      <c r="I40" s="346"/>
      <c r="J40" s="346"/>
      <c r="K40" s="346"/>
      <c r="L40" s="346"/>
      <c r="M40" s="346"/>
      <c r="N40" s="346"/>
      <c r="O40" s="346"/>
      <c r="P40" s="346"/>
      <c r="Q40" s="346"/>
      <c r="R40" s="346"/>
      <c r="S40" s="356"/>
      <c r="U40" s="123"/>
      <c r="V40" s="123"/>
      <c r="W40" s="123"/>
      <c r="X40" s="123"/>
      <c r="Y40" s="123"/>
      <c r="Z40" s="123"/>
      <c r="AA40" s="123"/>
      <c r="AB40" s="123"/>
      <c r="AC40" s="123"/>
      <c r="AD40" s="123"/>
      <c r="AE40" s="123"/>
      <c r="AF40" s="123"/>
      <c r="AG40" s="123"/>
      <c r="AH40" s="123"/>
      <c r="AI40" s="123"/>
      <c r="AJ40" s="123"/>
      <c r="AK40" s="123"/>
      <c r="AL40" s="123"/>
      <c r="AM40" s="123"/>
      <c r="AN40" s="123"/>
    </row>
    <row r="41" spans="2:40" s="3" customFormat="1" ht="15" customHeight="1" x14ac:dyDescent="0.45">
      <c r="B41" s="346"/>
      <c r="C41" s="346"/>
      <c r="D41" s="346"/>
      <c r="E41" s="346"/>
      <c r="F41" s="346"/>
      <c r="G41" s="346"/>
      <c r="H41" s="346"/>
      <c r="I41" s="346"/>
      <c r="J41" s="346"/>
      <c r="K41" s="346"/>
      <c r="L41" s="346"/>
      <c r="M41" s="346"/>
      <c r="N41" s="346"/>
      <c r="O41" s="346"/>
      <c r="P41" s="346"/>
      <c r="Q41" s="346"/>
      <c r="R41" s="346"/>
      <c r="S41" s="356"/>
      <c r="U41" s="123"/>
      <c r="V41" s="123"/>
      <c r="W41" s="123"/>
      <c r="X41" s="123"/>
      <c r="Y41" s="123"/>
      <c r="Z41" s="123"/>
      <c r="AA41" s="123"/>
      <c r="AB41" s="123"/>
      <c r="AC41" s="123"/>
      <c r="AD41" s="123"/>
      <c r="AE41" s="123"/>
      <c r="AF41" s="123"/>
      <c r="AG41" s="123"/>
      <c r="AH41" s="123"/>
      <c r="AI41" s="123"/>
      <c r="AJ41" s="123"/>
      <c r="AK41" s="123"/>
      <c r="AL41" s="123"/>
      <c r="AM41" s="123"/>
      <c r="AN41" s="123"/>
    </row>
    <row r="42" spans="2:40" s="3" customFormat="1" ht="15" customHeight="1" x14ac:dyDescent="0.45">
      <c r="B42" s="346"/>
      <c r="C42" s="346"/>
      <c r="D42" s="346"/>
      <c r="E42" s="346"/>
      <c r="F42" s="346"/>
      <c r="G42" s="346"/>
      <c r="H42" s="346"/>
      <c r="I42" s="346"/>
      <c r="J42" s="346"/>
      <c r="K42" s="346"/>
      <c r="L42" s="346"/>
      <c r="M42" s="346"/>
      <c r="N42" s="346"/>
      <c r="O42" s="346"/>
      <c r="P42" s="346"/>
      <c r="Q42" s="346"/>
      <c r="R42" s="346"/>
      <c r="S42" s="356"/>
      <c r="U42" s="123"/>
      <c r="V42" s="123"/>
      <c r="W42" s="123"/>
      <c r="X42" s="123"/>
      <c r="Y42" s="123"/>
      <c r="Z42" s="123"/>
      <c r="AA42" s="123"/>
      <c r="AB42" s="123"/>
      <c r="AC42" s="123"/>
      <c r="AD42" s="123"/>
      <c r="AE42" s="123"/>
      <c r="AF42" s="123"/>
      <c r="AG42" s="123"/>
      <c r="AH42" s="123"/>
      <c r="AI42" s="123"/>
      <c r="AJ42" s="123"/>
      <c r="AK42" s="123"/>
      <c r="AL42" s="123"/>
      <c r="AM42" s="123"/>
      <c r="AN42" s="123"/>
    </row>
    <row r="43" spans="2:40" s="3" customFormat="1" ht="15" customHeight="1" x14ac:dyDescent="0.45">
      <c r="B43" s="346"/>
      <c r="C43" s="346"/>
      <c r="D43" s="346"/>
      <c r="E43" s="346"/>
      <c r="F43" s="346"/>
      <c r="G43" s="346"/>
      <c r="H43" s="346"/>
      <c r="I43" s="346"/>
      <c r="J43" s="346"/>
      <c r="K43" s="346"/>
      <c r="L43" s="346"/>
      <c r="M43" s="346"/>
      <c r="N43" s="346"/>
      <c r="O43" s="346"/>
      <c r="P43" s="346"/>
      <c r="Q43" s="346"/>
      <c r="R43" s="346"/>
      <c r="S43" s="356"/>
      <c r="U43" s="123"/>
      <c r="V43" s="123"/>
      <c r="W43" s="123"/>
      <c r="X43" s="123"/>
      <c r="Y43" s="123"/>
      <c r="Z43" s="123"/>
      <c r="AA43" s="123"/>
      <c r="AB43" s="123"/>
      <c r="AC43" s="123"/>
      <c r="AD43" s="123"/>
      <c r="AE43" s="123"/>
      <c r="AF43" s="123"/>
      <c r="AG43" s="123"/>
      <c r="AH43" s="123"/>
      <c r="AI43" s="123"/>
      <c r="AJ43" s="123"/>
      <c r="AK43" s="123"/>
      <c r="AL43" s="123"/>
      <c r="AM43" s="123"/>
      <c r="AN43" s="123"/>
    </row>
    <row r="44" spans="2:40" s="3" customFormat="1" ht="15" customHeight="1" x14ac:dyDescent="0.45">
      <c r="B44" s="346"/>
      <c r="C44" s="346"/>
      <c r="D44" s="346"/>
      <c r="E44" s="346"/>
      <c r="F44" s="346"/>
      <c r="G44" s="346"/>
      <c r="H44" s="346"/>
      <c r="I44" s="346"/>
      <c r="J44" s="346"/>
      <c r="K44" s="346"/>
      <c r="L44" s="346"/>
      <c r="M44" s="346"/>
      <c r="N44" s="346"/>
      <c r="O44" s="346"/>
      <c r="P44" s="346"/>
      <c r="Q44" s="346"/>
      <c r="R44" s="346"/>
      <c r="S44" s="356"/>
      <c r="U44" s="123"/>
      <c r="V44" s="123"/>
      <c r="W44" s="123"/>
      <c r="X44" s="123"/>
      <c r="Y44" s="123"/>
      <c r="Z44" s="123"/>
      <c r="AA44" s="123"/>
      <c r="AB44" s="123"/>
      <c r="AC44" s="123"/>
      <c r="AD44" s="123"/>
      <c r="AE44" s="123"/>
      <c r="AF44" s="123"/>
      <c r="AG44" s="123"/>
      <c r="AH44" s="123"/>
      <c r="AI44" s="123"/>
      <c r="AJ44" s="123"/>
      <c r="AK44" s="123"/>
      <c r="AL44" s="123"/>
      <c r="AM44" s="123"/>
      <c r="AN44" s="123"/>
    </row>
    <row r="45" spans="2:40" s="3" customFormat="1" ht="15" customHeight="1" x14ac:dyDescent="0.45">
      <c r="B45" s="346"/>
      <c r="C45" s="346"/>
      <c r="D45" s="346"/>
      <c r="E45" s="346"/>
      <c r="F45" s="346"/>
      <c r="G45" s="346"/>
      <c r="H45" s="346"/>
      <c r="I45" s="346"/>
      <c r="J45" s="346"/>
      <c r="K45" s="346"/>
      <c r="L45" s="346"/>
      <c r="M45" s="346"/>
      <c r="N45" s="346"/>
      <c r="O45" s="346"/>
      <c r="P45" s="346"/>
      <c r="Q45" s="346"/>
      <c r="R45" s="346"/>
      <c r="S45" s="356"/>
      <c r="U45" s="123"/>
      <c r="V45" s="123"/>
      <c r="W45" s="123"/>
      <c r="X45" s="123"/>
      <c r="Y45" s="123"/>
      <c r="Z45" s="123"/>
      <c r="AA45" s="123"/>
      <c r="AB45" s="123"/>
      <c r="AC45" s="123"/>
      <c r="AD45" s="123"/>
      <c r="AE45" s="123"/>
      <c r="AF45" s="123"/>
      <c r="AG45" s="123"/>
      <c r="AH45" s="123"/>
      <c r="AI45" s="123"/>
      <c r="AJ45" s="123"/>
      <c r="AK45" s="123"/>
      <c r="AL45" s="123"/>
      <c r="AM45" s="123"/>
      <c r="AN45" s="123"/>
    </row>
    <row r="46" spans="2:40" s="3" customFormat="1" ht="15" customHeight="1" x14ac:dyDescent="0.45">
      <c r="B46" s="346"/>
      <c r="C46" s="346"/>
      <c r="D46" s="346"/>
      <c r="E46" s="346"/>
      <c r="F46" s="346"/>
      <c r="G46" s="346"/>
      <c r="H46" s="346"/>
      <c r="I46" s="346"/>
      <c r="J46" s="346"/>
      <c r="K46" s="346"/>
      <c r="L46" s="346"/>
      <c r="M46" s="346"/>
      <c r="N46" s="346"/>
      <c r="O46" s="346"/>
      <c r="P46" s="346"/>
      <c r="Q46" s="346"/>
      <c r="R46" s="346"/>
      <c r="S46" s="356"/>
      <c r="U46" s="123"/>
      <c r="V46" s="123"/>
      <c r="W46" s="123"/>
      <c r="X46" s="123"/>
      <c r="Y46" s="123"/>
      <c r="Z46" s="123"/>
      <c r="AA46" s="123"/>
      <c r="AB46" s="123"/>
      <c r="AC46" s="123"/>
      <c r="AD46" s="123"/>
      <c r="AE46" s="123"/>
      <c r="AF46" s="123"/>
      <c r="AG46" s="123"/>
      <c r="AH46" s="123"/>
      <c r="AI46" s="123"/>
      <c r="AJ46" s="123"/>
      <c r="AK46" s="123"/>
      <c r="AL46" s="123"/>
      <c r="AM46" s="123"/>
      <c r="AN46" s="123"/>
    </row>
    <row r="47" spans="2:40" s="3" customFormat="1" ht="15" customHeight="1" x14ac:dyDescent="0.45">
      <c r="B47" s="346"/>
      <c r="C47" s="346"/>
      <c r="D47" s="346"/>
      <c r="E47" s="346"/>
      <c r="F47" s="346"/>
      <c r="G47" s="346"/>
      <c r="H47" s="346"/>
      <c r="I47" s="346"/>
      <c r="J47" s="346"/>
      <c r="K47" s="346"/>
      <c r="L47" s="346"/>
      <c r="M47" s="346"/>
      <c r="N47" s="346"/>
      <c r="O47" s="346"/>
      <c r="P47" s="346"/>
      <c r="Q47" s="346"/>
      <c r="R47" s="346"/>
      <c r="S47" s="356"/>
      <c r="U47" s="123"/>
      <c r="V47" s="123"/>
      <c r="W47" s="123"/>
      <c r="X47" s="123"/>
      <c r="Y47" s="123"/>
      <c r="Z47" s="123"/>
      <c r="AA47" s="123"/>
      <c r="AB47" s="123"/>
      <c r="AC47" s="123"/>
      <c r="AD47" s="123"/>
      <c r="AE47" s="123"/>
      <c r="AF47" s="123"/>
      <c r="AG47" s="123"/>
      <c r="AH47" s="123"/>
      <c r="AI47" s="123"/>
      <c r="AJ47" s="123"/>
      <c r="AK47" s="123"/>
      <c r="AL47" s="123"/>
      <c r="AM47" s="123"/>
      <c r="AN47" s="123"/>
    </row>
    <row r="48" spans="2:40" s="3" customFormat="1" ht="15" customHeight="1" x14ac:dyDescent="0.45">
      <c r="B48" s="346"/>
      <c r="C48" s="346"/>
      <c r="D48" s="346"/>
      <c r="E48" s="346"/>
      <c r="F48" s="346"/>
      <c r="G48" s="346"/>
      <c r="H48" s="346"/>
      <c r="I48" s="346"/>
      <c r="J48" s="346"/>
      <c r="K48" s="346"/>
      <c r="L48" s="346"/>
      <c r="M48" s="346"/>
      <c r="N48" s="346"/>
      <c r="O48" s="346"/>
      <c r="P48" s="346"/>
      <c r="Q48" s="346"/>
      <c r="R48" s="346"/>
      <c r="S48" s="356"/>
      <c r="U48" s="123"/>
      <c r="V48" s="123"/>
      <c r="W48" s="123"/>
      <c r="X48" s="123"/>
      <c r="Y48" s="123"/>
      <c r="Z48" s="123"/>
      <c r="AA48" s="123"/>
      <c r="AB48" s="123"/>
      <c r="AC48" s="123"/>
      <c r="AD48" s="123"/>
      <c r="AE48" s="123"/>
      <c r="AF48" s="123"/>
      <c r="AG48" s="123"/>
      <c r="AH48" s="123"/>
      <c r="AI48" s="123"/>
      <c r="AJ48" s="123"/>
      <c r="AK48" s="123"/>
      <c r="AL48" s="123"/>
      <c r="AM48" s="123"/>
      <c r="AN48" s="123"/>
    </row>
    <row r="49" spans="2:40" s="3" customFormat="1" ht="15" customHeight="1" x14ac:dyDescent="0.45">
      <c r="B49" s="346"/>
      <c r="C49" s="346"/>
      <c r="D49" s="346"/>
      <c r="E49" s="346"/>
      <c r="F49" s="346"/>
      <c r="G49" s="346"/>
      <c r="H49" s="346"/>
      <c r="I49" s="346"/>
      <c r="J49" s="346"/>
      <c r="K49" s="346"/>
      <c r="L49" s="346"/>
      <c r="M49" s="346"/>
      <c r="N49" s="346"/>
      <c r="O49" s="346"/>
      <c r="P49" s="346"/>
      <c r="Q49" s="346"/>
      <c r="R49" s="346"/>
      <c r="S49" s="356"/>
      <c r="U49" s="123"/>
      <c r="V49" s="123"/>
      <c r="W49" s="123"/>
      <c r="X49" s="123"/>
      <c r="Y49" s="123"/>
      <c r="Z49" s="123"/>
      <c r="AA49" s="123"/>
      <c r="AB49" s="123"/>
      <c r="AC49" s="123"/>
      <c r="AD49" s="123"/>
      <c r="AE49" s="123"/>
      <c r="AF49" s="123"/>
      <c r="AG49" s="123"/>
      <c r="AH49" s="123"/>
      <c r="AI49" s="123"/>
      <c r="AJ49" s="123"/>
      <c r="AK49" s="123"/>
      <c r="AL49" s="123"/>
      <c r="AM49" s="123"/>
      <c r="AN49" s="123"/>
    </row>
    <row r="50" spans="2:40" s="3" customFormat="1" ht="15" customHeight="1" x14ac:dyDescent="0.45">
      <c r="B50" s="346"/>
      <c r="C50" s="346"/>
      <c r="D50" s="346"/>
      <c r="E50" s="346"/>
      <c r="F50" s="346"/>
      <c r="G50" s="346"/>
      <c r="H50" s="346"/>
      <c r="I50" s="346"/>
      <c r="J50" s="346"/>
      <c r="K50" s="346"/>
      <c r="L50" s="346"/>
      <c r="M50" s="346"/>
      <c r="N50" s="346"/>
      <c r="O50" s="346"/>
      <c r="P50" s="346"/>
      <c r="Q50" s="346"/>
      <c r="R50" s="346"/>
      <c r="S50" s="356"/>
      <c r="U50" s="123"/>
      <c r="V50" s="123"/>
      <c r="W50" s="123"/>
      <c r="X50" s="123"/>
      <c r="Y50" s="123"/>
      <c r="Z50" s="123"/>
      <c r="AA50" s="123"/>
      <c r="AB50" s="123"/>
      <c r="AC50" s="123"/>
      <c r="AD50" s="123"/>
      <c r="AE50" s="123"/>
      <c r="AF50" s="123"/>
      <c r="AG50" s="123"/>
      <c r="AH50" s="123"/>
      <c r="AI50" s="123"/>
      <c r="AJ50" s="123"/>
      <c r="AK50" s="123"/>
      <c r="AL50" s="123"/>
      <c r="AM50" s="123"/>
      <c r="AN50" s="123"/>
    </row>
    <row r="51" spans="2:40" s="3" customFormat="1" ht="15" customHeight="1" x14ac:dyDescent="0.45">
      <c r="B51" s="346"/>
      <c r="C51" s="346"/>
      <c r="D51" s="346"/>
      <c r="E51" s="346"/>
      <c r="F51" s="346"/>
      <c r="G51" s="346"/>
      <c r="H51" s="346"/>
      <c r="I51" s="346"/>
      <c r="J51" s="346"/>
      <c r="K51" s="346"/>
      <c r="L51" s="346"/>
      <c r="M51" s="346"/>
      <c r="N51" s="346"/>
      <c r="O51" s="346"/>
      <c r="P51" s="346"/>
      <c r="Q51" s="346"/>
      <c r="R51" s="346"/>
      <c r="S51" s="356"/>
      <c r="U51" s="123"/>
      <c r="V51" s="123"/>
      <c r="W51" s="123"/>
      <c r="X51" s="123"/>
      <c r="Y51" s="123"/>
      <c r="Z51" s="123"/>
      <c r="AA51" s="123"/>
      <c r="AB51" s="123"/>
      <c r="AC51" s="123"/>
      <c r="AD51" s="123"/>
      <c r="AE51" s="123"/>
      <c r="AF51" s="123"/>
      <c r="AG51" s="123"/>
      <c r="AH51" s="123"/>
      <c r="AI51" s="123"/>
      <c r="AJ51" s="123"/>
      <c r="AK51" s="123"/>
      <c r="AL51" s="123"/>
      <c r="AM51" s="123"/>
      <c r="AN51" s="123"/>
    </row>
    <row r="52" spans="2:40" s="3" customFormat="1" ht="15" customHeight="1" x14ac:dyDescent="0.45">
      <c r="B52" s="346"/>
      <c r="C52" s="346"/>
      <c r="D52" s="346"/>
      <c r="E52" s="346"/>
      <c r="F52" s="346"/>
      <c r="G52" s="346"/>
      <c r="H52" s="346"/>
      <c r="I52" s="346"/>
      <c r="J52" s="346"/>
      <c r="K52" s="346"/>
      <c r="L52" s="346"/>
      <c r="M52" s="346"/>
      <c r="N52" s="346"/>
      <c r="O52" s="346"/>
      <c r="P52" s="346"/>
      <c r="Q52" s="346"/>
      <c r="R52" s="346"/>
      <c r="S52" s="356"/>
      <c r="U52" s="123"/>
      <c r="V52" s="123"/>
      <c r="W52" s="123"/>
      <c r="X52" s="123"/>
      <c r="Y52" s="123"/>
      <c r="Z52" s="123"/>
      <c r="AA52" s="123"/>
      <c r="AB52" s="123"/>
      <c r="AC52" s="123"/>
      <c r="AD52" s="123"/>
      <c r="AE52" s="123"/>
      <c r="AF52" s="123"/>
      <c r="AG52" s="123"/>
      <c r="AH52" s="123"/>
      <c r="AI52" s="123"/>
      <c r="AJ52" s="123"/>
      <c r="AK52" s="123"/>
      <c r="AL52" s="123"/>
      <c r="AM52" s="123"/>
      <c r="AN52" s="123"/>
    </row>
    <row r="53" spans="2:40" s="3" customFormat="1" ht="15" customHeight="1" x14ac:dyDescent="0.45">
      <c r="B53" s="346"/>
      <c r="C53" s="346"/>
      <c r="D53" s="346"/>
      <c r="E53" s="346"/>
      <c r="F53" s="346"/>
      <c r="G53" s="346"/>
      <c r="H53" s="346"/>
      <c r="I53" s="346"/>
      <c r="J53" s="346"/>
      <c r="K53" s="346"/>
      <c r="L53" s="346"/>
      <c r="M53" s="346"/>
      <c r="N53" s="346"/>
      <c r="O53" s="346"/>
      <c r="P53" s="346"/>
      <c r="Q53" s="346"/>
      <c r="R53" s="346"/>
      <c r="S53" s="356"/>
      <c r="U53" s="123"/>
      <c r="V53" s="123"/>
      <c r="W53" s="123"/>
      <c r="X53" s="123"/>
      <c r="Y53" s="123"/>
      <c r="Z53" s="123"/>
      <c r="AA53" s="123"/>
      <c r="AB53" s="123"/>
      <c r="AC53" s="123"/>
      <c r="AD53" s="123"/>
      <c r="AE53" s="123"/>
      <c r="AF53" s="123"/>
      <c r="AG53" s="123"/>
      <c r="AH53" s="123"/>
      <c r="AI53" s="123"/>
      <c r="AJ53" s="123"/>
      <c r="AK53" s="123"/>
      <c r="AL53" s="123"/>
      <c r="AM53" s="123"/>
      <c r="AN53" s="123"/>
    </row>
    <row r="54" spans="2:40" s="3" customFormat="1" ht="15" customHeight="1" x14ac:dyDescent="0.45">
      <c r="B54" s="346"/>
      <c r="C54" s="346"/>
      <c r="D54" s="346"/>
      <c r="E54" s="346"/>
      <c r="F54" s="346"/>
      <c r="G54" s="346"/>
      <c r="H54" s="346"/>
      <c r="I54" s="346"/>
      <c r="J54" s="346"/>
      <c r="K54" s="346"/>
      <c r="L54" s="346"/>
      <c r="M54" s="346"/>
      <c r="N54" s="346"/>
      <c r="O54" s="346"/>
      <c r="P54" s="346"/>
      <c r="Q54" s="346"/>
      <c r="R54" s="346"/>
      <c r="S54" s="356"/>
      <c r="U54" s="123"/>
      <c r="V54" s="123"/>
      <c r="W54" s="123"/>
      <c r="X54" s="123"/>
      <c r="Y54" s="123"/>
      <c r="Z54" s="123"/>
      <c r="AA54" s="123"/>
      <c r="AB54" s="123"/>
      <c r="AC54" s="123"/>
      <c r="AD54" s="123"/>
      <c r="AE54" s="123"/>
      <c r="AF54" s="123"/>
      <c r="AG54" s="123"/>
      <c r="AH54" s="123"/>
      <c r="AI54" s="123"/>
      <c r="AJ54" s="123"/>
      <c r="AK54" s="123"/>
      <c r="AL54" s="123"/>
      <c r="AM54" s="123"/>
      <c r="AN54" s="123"/>
    </row>
    <row r="55" spans="2:40" s="3" customFormat="1" ht="15" customHeight="1" x14ac:dyDescent="0.45">
      <c r="B55" s="346"/>
      <c r="C55" s="346"/>
      <c r="D55" s="346"/>
      <c r="E55" s="346"/>
      <c r="F55" s="346"/>
      <c r="G55" s="346"/>
      <c r="H55" s="346"/>
      <c r="I55" s="346"/>
      <c r="J55" s="346"/>
      <c r="K55" s="346"/>
      <c r="L55" s="346"/>
      <c r="M55" s="346"/>
      <c r="N55" s="346"/>
      <c r="O55" s="346"/>
      <c r="P55" s="346"/>
      <c r="Q55" s="346"/>
      <c r="R55" s="346"/>
      <c r="S55" s="356"/>
      <c r="U55" s="123"/>
      <c r="V55" s="123"/>
      <c r="W55" s="123"/>
      <c r="X55" s="123"/>
      <c r="Y55" s="123"/>
      <c r="Z55" s="123"/>
      <c r="AA55" s="123"/>
      <c r="AB55" s="123"/>
      <c r="AC55" s="123"/>
      <c r="AD55" s="123"/>
      <c r="AE55" s="123"/>
      <c r="AF55" s="123"/>
      <c r="AG55" s="123"/>
      <c r="AH55" s="123"/>
      <c r="AI55" s="123"/>
      <c r="AJ55" s="123"/>
      <c r="AK55" s="123"/>
      <c r="AL55" s="123"/>
      <c r="AM55" s="123"/>
      <c r="AN55" s="123"/>
    </row>
    <row r="56" spans="2:40" s="3" customFormat="1" ht="15" customHeight="1" x14ac:dyDescent="0.45">
      <c r="B56" s="346"/>
      <c r="C56" s="346"/>
      <c r="D56" s="346"/>
      <c r="E56" s="346"/>
      <c r="F56" s="346"/>
      <c r="G56" s="346"/>
      <c r="H56" s="346"/>
      <c r="I56" s="346"/>
      <c r="J56" s="346"/>
      <c r="K56" s="346"/>
      <c r="L56" s="346"/>
      <c r="M56" s="346"/>
      <c r="N56" s="346"/>
      <c r="O56" s="346"/>
      <c r="P56" s="346"/>
      <c r="Q56" s="346"/>
      <c r="R56" s="346"/>
      <c r="S56" s="356"/>
      <c r="U56" s="123"/>
      <c r="V56" s="123"/>
      <c r="W56" s="123"/>
      <c r="X56" s="123"/>
      <c r="Y56" s="123"/>
      <c r="Z56" s="123"/>
      <c r="AA56" s="123"/>
      <c r="AB56" s="123"/>
      <c r="AC56" s="123"/>
      <c r="AD56" s="123"/>
      <c r="AE56" s="123"/>
      <c r="AF56" s="123"/>
      <c r="AG56" s="123"/>
      <c r="AH56" s="123"/>
      <c r="AI56" s="123"/>
      <c r="AJ56" s="123"/>
      <c r="AK56" s="123"/>
      <c r="AL56" s="123"/>
      <c r="AM56" s="123"/>
      <c r="AN56" s="123"/>
    </row>
    <row r="57" spans="2:40" s="3" customFormat="1" ht="15" customHeight="1" x14ac:dyDescent="0.45">
      <c r="B57" s="346"/>
      <c r="C57" s="346"/>
      <c r="D57" s="346"/>
      <c r="E57" s="346"/>
      <c r="F57" s="346"/>
      <c r="G57" s="346"/>
      <c r="H57" s="346"/>
      <c r="I57" s="346"/>
      <c r="J57" s="346"/>
      <c r="K57" s="346"/>
      <c r="L57" s="346"/>
      <c r="M57" s="346"/>
      <c r="N57" s="346"/>
      <c r="O57" s="346"/>
      <c r="P57" s="346"/>
      <c r="Q57" s="346"/>
      <c r="R57" s="346"/>
      <c r="S57" s="356"/>
      <c r="U57" s="123"/>
      <c r="V57" s="123"/>
      <c r="W57" s="123"/>
      <c r="X57" s="123"/>
      <c r="Y57" s="123"/>
      <c r="Z57" s="123"/>
      <c r="AA57" s="123"/>
      <c r="AB57" s="123"/>
      <c r="AC57" s="123"/>
      <c r="AD57" s="123"/>
      <c r="AE57" s="123"/>
      <c r="AF57" s="123"/>
      <c r="AG57" s="123"/>
      <c r="AH57" s="123"/>
      <c r="AI57" s="123"/>
      <c r="AJ57" s="123"/>
      <c r="AK57" s="123"/>
      <c r="AL57" s="123"/>
      <c r="AM57" s="123"/>
      <c r="AN57" s="123"/>
    </row>
    <row r="58" spans="2:40" s="3" customFormat="1" ht="15" customHeight="1" x14ac:dyDescent="0.45">
      <c r="B58" s="346"/>
      <c r="C58" s="346"/>
      <c r="D58" s="346"/>
      <c r="E58" s="346"/>
      <c r="F58" s="346"/>
      <c r="G58" s="346"/>
      <c r="H58" s="346"/>
      <c r="I58" s="346"/>
      <c r="J58" s="346"/>
      <c r="K58" s="346"/>
      <c r="L58" s="346"/>
      <c r="M58" s="346"/>
      <c r="N58" s="346"/>
      <c r="O58" s="346"/>
      <c r="P58" s="346"/>
      <c r="Q58" s="346"/>
      <c r="R58" s="346"/>
      <c r="S58" s="356"/>
      <c r="U58" s="123"/>
      <c r="V58" s="123"/>
      <c r="W58" s="123"/>
      <c r="X58" s="123"/>
      <c r="Y58" s="123"/>
      <c r="Z58" s="123"/>
      <c r="AA58" s="123"/>
      <c r="AB58" s="123"/>
      <c r="AC58" s="123"/>
      <c r="AD58" s="123"/>
      <c r="AE58" s="123"/>
      <c r="AF58" s="123"/>
      <c r="AG58" s="123"/>
      <c r="AH58" s="123"/>
      <c r="AI58" s="123"/>
      <c r="AJ58" s="123"/>
      <c r="AK58" s="123"/>
      <c r="AL58" s="123"/>
      <c r="AM58" s="123"/>
      <c r="AN58" s="123"/>
    </row>
    <row r="59" spans="2:40" s="3" customFormat="1" ht="15" customHeight="1" x14ac:dyDescent="0.45">
      <c r="B59" s="346"/>
      <c r="C59" s="346"/>
      <c r="D59" s="346"/>
      <c r="E59" s="346"/>
      <c r="F59" s="346"/>
      <c r="G59" s="346"/>
      <c r="H59" s="346"/>
      <c r="I59" s="346"/>
      <c r="J59" s="346"/>
      <c r="K59" s="346"/>
      <c r="L59" s="346"/>
      <c r="M59" s="346"/>
      <c r="N59" s="346"/>
      <c r="O59" s="346"/>
      <c r="P59" s="346"/>
      <c r="Q59" s="346"/>
      <c r="R59" s="346"/>
      <c r="S59" s="356"/>
      <c r="U59" s="123"/>
      <c r="V59" s="123"/>
      <c r="W59" s="123"/>
      <c r="X59" s="123"/>
      <c r="Y59" s="123"/>
      <c r="Z59" s="123"/>
      <c r="AA59" s="123"/>
      <c r="AB59" s="123"/>
      <c r="AC59" s="123"/>
      <c r="AD59" s="123"/>
      <c r="AE59" s="123"/>
      <c r="AF59" s="123"/>
      <c r="AG59" s="123"/>
      <c r="AH59" s="123"/>
      <c r="AI59" s="123"/>
      <c r="AJ59" s="123"/>
      <c r="AK59" s="123"/>
      <c r="AL59" s="123"/>
      <c r="AM59" s="123"/>
      <c r="AN59" s="123"/>
    </row>
    <row r="60" spans="2:40" s="3" customFormat="1" ht="15" customHeight="1" x14ac:dyDescent="0.45">
      <c r="B60" s="346"/>
      <c r="C60" s="346"/>
      <c r="D60" s="346"/>
      <c r="E60" s="346"/>
      <c r="F60" s="346"/>
      <c r="G60" s="346"/>
      <c r="H60" s="346"/>
      <c r="I60" s="346"/>
      <c r="J60" s="346"/>
      <c r="K60" s="346"/>
      <c r="L60" s="346"/>
      <c r="M60" s="346"/>
      <c r="N60" s="346"/>
      <c r="O60" s="346"/>
      <c r="P60" s="346"/>
      <c r="Q60" s="346"/>
      <c r="R60" s="346"/>
      <c r="S60" s="356"/>
      <c r="U60" s="123"/>
      <c r="V60" s="123"/>
      <c r="W60" s="123"/>
      <c r="X60" s="123"/>
      <c r="Y60" s="123"/>
      <c r="Z60" s="123"/>
      <c r="AA60" s="123"/>
      <c r="AB60" s="123"/>
      <c r="AC60" s="123"/>
      <c r="AD60" s="123"/>
      <c r="AE60" s="123"/>
      <c r="AF60" s="123"/>
      <c r="AG60" s="123"/>
      <c r="AH60" s="123"/>
      <c r="AI60" s="123"/>
      <c r="AJ60" s="123"/>
      <c r="AK60" s="123"/>
      <c r="AL60" s="123"/>
      <c r="AM60" s="123"/>
      <c r="AN60" s="123"/>
    </row>
    <row r="61" spans="2:40" s="3" customFormat="1" ht="15" customHeight="1" x14ac:dyDescent="0.45">
      <c r="B61" s="346"/>
      <c r="C61" s="346"/>
      <c r="D61" s="346"/>
      <c r="E61" s="346"/>
      <c r="F61" s="346"/>
      <c r="G61" s="346"/>
      <c r="H61" s="346"/>
      <c r="I61" s="346"/>
      <c r="J61" s="346"/>
      <c r="K61" s="346"/>
      <c r="L61" s="346"/>
      <c r="M61" s="346"/>
      <c r="N61" s="346"/>
      <c r="O61" s="346"/>
      <c r="P61" s="346"/>
      <c r="Q61" s="346"/>
      <c r="R61" s="346"/>
      <c r="S61" s="356"/>
      <c r="U61" s="123"/>
      <c r="V61" s="123"/>
      <c r="W61" s="123"/>
      <c r="X61" s="123"/>
      <c r="Y61" s="123"/>
      <c r="Z61" s="123"/>
      <c r="AA61" s="123"/>
      <c r="AB61" s="123"/>
      <c r="AC61" s="123"/>
      <c r="AD61" s="123"/>
      <c r="AE61" s="123"/>
      <c r="AF61" s="123"/>
      <c r="AG61" s="123"/>
      <c r="AH61" s="123"/>
      <c r="AI61" s="123"/>
      <c r="AJ61" s="123"/>
      <c r="AK61" s="123"/>
      <c r="AL61" s="123"/>
      <c r="AM61" s="123"/>
      <c r="AN61" s="123"/>
    </row>
    <row r="62" spans="2:40" s="3" customFormat="1" ht="15" customHeight="1" x14ac:dyDescent="0.45">
      <c r="B62" s="346"/>
      <c r="C62" s="346"/>
      <c r="D62" s="346"/>
      <c r="E62" s="346"/>
      <c r="F62" s="346"/>
      <c r="G62" s="346"/>
      <c r="H62" s="346"/>
      <c r="I62" s="346"/>
      <c r="J62" s="346"/>
      <c r="K62" s="346"/>
      <c r="L62" s="346"/>
      <c r="M62" s="346"/>
      <c r="N62" s="346"/>
      <c r="O62" s="346"/>
      <c r="P62" s="346"/>
      <c r="Q62" s="346"/>
      <c r="R62" s="346"/>
      <c r="S62" s="356"/>
      <c r="U62" s="123"/>
      <c r="V62" s="123"/>
      <c r="W62" s="123"/>
      <c r="X62" s="123"/>
      <c r="Y62" s="123"/>
      <c r="Z62" s="123"/>
      <c r="AA62" s="123"/>
      <c r="AB62" s="123"/>
      <c r="AC62" s="123"/>
      <c r="AD62" s="123"/>
      <c r="AE62" s="123"/>
      <c r="AF62" s="123"/>
      <c r="AG62" s="123"/>
      <c r="AH62" s="123"/>
      <c r="AI62" s="123"/>
      <c r="AJ62" s="123"/>
      <c r="AK62" s="123"/>
      <c r="AL62" s="123"/>
      <c r="AM62" s="123"/>
      <c r="AN62" s="123"/>
    </row>
    <row r="63" spans="2:40" s="3" customFormat="1" ht="15" customHeight="1" x14ac:dyDescent="0.45">
      <c r="B63" s="346"/>
      <c r="C63" s="346"/>
      <c r="D63" s="346"/>
      <c r="E63" s="346"/>
      <c r="F63" s="346"/>
      <c r="G63" s="346"/>
      <c r="H63" s="346"/>
      <c r="I63" s="346"/>
      <c r="J63" s="346"/>
      <c r="K63" s="346"/>
      <c r="L63" s="346"/>
      <c r="M63" s="346"/>
      <c r="N63" s="346"/>
      <c r="O63" s="346"/>
      <c r="P63" s="346"/>
      <c r="Q63" s="346"/>
      <c r="R63" s="346"/>
      <c r="S63" s="356"/>
      <c r="U63" s="123"/>
      <c r="V63" s="123"/>
      <c r="W63" s="123"/>
      <c r="X63" s="123"/>
      <c r="Y63" s="123"/>
      <c r="Z63" s="123"/>
      <c r="AA63" s="123"/>
      <c r="AB63" s="123"/>
      <c r="AC63" s="123"/>
      <c r="AD63" s="123"/>
      <c r="AE63" s="123"/>
      <c r="AF63" s="123"/>
      <c r="AG63" s="123"/>
      <c r="AH63" s="123"/>
      <c r="AI63" s="123"/>
      <c r="AJ63" s="123"/>
      <c r="AK63" s="123"/>
      <c r="AL63" s="123"/>
      <c r="AM63" s="123"/>
      <c r="AN63" s="123"/>
    </row>
    <row r="64" spans="2:40" s="3" customFormat="1" ht="15" customHeight="1" x14ac:dyDescent="0.45">
      <c r="B64" s="346"/>
      <c r="C64" s="346"/>
      <c r="D64" s="346"/>
      <c r="E64" s="346"/>
      <c r="F64" s="346"/>
      <c r="G64" s="346"/>
      <c r="H64" s="346"/>
      <c r="I64" s="346"/>
      <c r="J64" s="346"/>
      <c r="K64" s="346"/>
      <c r="L64" s="346"/>
      <c r="M64" s="346"/>
      <c r="N64" s="346"/>
      <c r="O64" s="346"/>
      <c r="P64" s="346"/>
      <c r="Q64" s="346"/>
      <c r="R64" s="346"/>
      <c r="S64" s="356"/>
      <c r="U64" s="123"/>
      <c r="V64" s="123"/>
      <c r="W64" s="123"/>
      <c r="X64" s="123"/>
      <c r="Y64" s="123"/>
      <c r="Z64" s="123"/>
      <c r="AA64" s="123"/>
      <c r="AB64" s="123"/>
      <c r="AC64" s="123"/>
      <c r="AD64" s="123"/>
      <c r="AE64" s="123"/>
      <c r="AF64" s="123"/>
      <c r="AG64" s="123"/>
      <c r="AH64" s="123"/>
      <c r="AI64" s="123"/>
      <c r="AJ64" s="123"/>
      <c r="AK64" s="123"/>
      <c r="AL64" s="123"/>
      <c r="AM64" s="123"/>
      <c r="AN64" s="123"/>
    </row>
    <row r="65" spans="2:40" s="3" customFormat="1" ht="15" customHeight="1" x14ac:dyDescent="0.45">
      <c r="B65" s="346"/>
      <c r="C65" s="346"/>
      <c r="D65" s="346"/>
      <c r="E65" s="346"/>
      <c r="F65" s="346"/>
      <c r="G65" s="346"/>
      <c r="H65" s="346"/>
      <c r="I65" s="346"/>
      <c r="J65" s="346"/>
      <c r="K65" s="346"/>
      <c r="L65" s="346"/>
      <c r="M65" s="346"/>
      <c r="N65" s="346"/>
      <c r="O65" s="346"/>
      <c r="P65" s="346"/>
      <c r="Q65" s="346"/>
      <c r="R65" s="346"/>
      <c r="S65" s="356"/>
      <c r="U65" s="123"/>
      <c r="V65" s="123"/>
      <c r="W65" s="123"/>
      <c r="X65" s="123"/>
      <c r="Y65" s="123"/>
      <c r="Z65" s="123"/>
      <c r="AA65" s="123"/>
      <c r="AB65" s="123"/>
      <c r="AC65" s="123"/>
      <c r="AD65" s="123"/>
      <c r="AE65" s="123"/>
      <c r="AF65" s="123"/>
      <c r="AG65" s="123"/>
      <c r="AH65" s="123"/>
      <c r="AI65" s="123"/>
      <c r="AJ65" s="123"/>
      <c r="AK65" s="123"/>
      <c r="AL65" s="123"/>
      <c r="AM65" s="123"/>
      <c r="AN65" s="123"/>
    </row>
    <row r="66" spans="2:40" s="3" customFormat="1" ht="15" customHeight="1" x14ac:dyDescent="0.45">
      <c r="B66" s="346"/>
      <c r="C66" s="346"/>
      <c r="D66" s="346"/>
      <c r="E66" s="346"/>
      <c r="F66" s="346"/>
      <c r="G66" s="346"/>
      <c r="H66" s="346"/>
      <c r="I66" s="346"/>
      <c r="J66" s="346"/>
      <c r="K66" s="346"/>
      <c r="L66" s="346"/>
      <c r="M66" s="346"/>
      <c r="N66" s="346"/>
      <c r="O66" s="346"/>
      <c r="P66" s="346"/>
      <c r="Q66" s="346"/>
      <c r="R66" s="346"/>
      <c r="S66" s="356"/>
      <c r="U66" s="123"/>
      <c r="V66" s="123"/>
      <c r="W66" s="123"/>
      <c r="X66" s="123"/>
      <c r="Y66" s="123"/>
      <c r="Z66" s="123"/>
      <c r="AA66" s="123"/>
      <c r="AB66" s="123"/>
      <c r="AC66" s="123"/>
      <c r="AD66" s="123"/>
      <c r="AE66" s="123"/>
      <c r="AF66" s="123"/>
      <c r="AG66" s="123"/>
      <c r="AH66" s="123"/>
      <c r="AI66" s="123"/>
      <c r="AJ66" s="123"/>
      <c r="AK66" s="123"/>
      <c r="AL66" s="123"/>
      <c r="AM66" s="123"/>
      <c r="AN66" s="123"/>
    </row>
    <row r="67" spans="2:40" s="3" customFormat="1" ht="15" customHeight="1" x14ac:dyDescent="0.45">
      <c r="B67" s="346"/>
      <c r="C67" s="346"/>
      <c r="D67" s="346"/>
      <c r="E67" s="346"/>
      <c r="F67" s="346"/>
      <c r="G67" s="346"/>
      <c r="H67" s="346"/>
      <c r="I67" s="346"/>
      <c r="J67" s="346"/>
      <c r="K67" s="346"/>
      <c r="L67" s="346"/>
      <c r="M67" s="346"/>
      <c r="N67" s="346"/>
      <c r="O67" s="346"/>
      <c r="P67" s="346"/>
      <c r="Q67" s="346"/>
      <c r="R67" s="346"/>
      <c r="S67" s="356"/>
      <c r="U67" s="123"/>
      <c r="V67" s="123"/>
      <c r="W67" s="123"/>
      <c r="X67" s="123"/>
      <c r="Y67" s="123"/>
      <c r="Z67" s="123"/>
      <c r="AA67" s="123"/>
      <c r="AB67" s="123"/>
      <c r="AC67" s="123"/>
      <c r="AD67" s="123"/>
      <c r="AE67" s="123"/>
      <c r="AF67" s="123"/>
      <c r="AG67" s="123"/>
      <c r="AH67" s="123"/>
      <c r="AI67" s="123"/>
      <c r="AJ67" s="123"/>
      <c r="AK67" s="123"/>
      <c r="AL67" s="123"/>
      <c r="AM67" s="123"/>
      <c r="AN67" s="123"/>
    </row>
    <row r="68" spans="2:40" s="3" customFormat="1" ht="15" customHeight="1" x14ac:dyDescent="0.45">
      <c r="B68" s="346"/>
      <c r="C68" s="346"/>
      <c r="D68" s="346"/>
      <c r="E68" s="346"/>
      <c r="F68" s="346"/>
      <c r="G68" s="346"/>
      <c r="H68" s="346"/>
      <c r="I68" s="346"/>
      <c r="J68" s="346"/>
      <c r="K68" s="346"/>
      <c r="L68" s="346"/>
      <c r="M68" s="346"/>
      <c r="N68" s="346"/>
      <c r="O68" s="346"/>
      <c r="P68" s="346"/>
      <c r="Q68" s="346"/>
      <c r="R68" s="346"/>
      <c r="S68" s="356"/>
      <c r="U68" s="123"/>
      <c r="V68" s="123"/>
      <c r="W68" s="123"/>
      <c r="X68" s="123"/>
      <c r="Y68" s="123"/>
      <c r="Z68" s="123"/>
      <c r="AA68" s="123"/>
      <c r="AB68" s="123"/>
      <c r="AC68" s="123"/>
      <c r="AD68" s="123"/>
      <c r="AE68" s="123"/>
      <c r="AF68" s="123"/>
      <c r="AG68" s="123"/>
      <c r="AH68" s="123"/>
      <c r="AI68" s="123"/>
      <c r="AJ68" s="123"/>
      <c r="AK68" s="123"/>
      <c r="AL68" s="123"/>
      <c r="AM68" s="123"/>
      <c r="AN68" s="123"/>
    </row>
    <row r="69" spans="2:40" s="3" customFormat="1" ht="15" customHeight="1" x14ac:dyDescent="0.45">
      <c r="B69" s="346"/>
      <c r="C69" s="346"/>
      <c r="D69" s="346"/>
      <c r="E69" s="346"/>
      <c r="F69" s="346"/>
      <c r="G69" s="346"/>
      <c r="H69" s="346"/>
      <c r="I69" s="346"/>
      <c r="J69" s="346"/>
      <c r="K69" s="346"/>
      <c r="L69" s="346"/>
      <c r="M69" s="346"/>
      <c r="N69" s="346"/>
      <c r="O69" s="346"/>
      <c r="P69" s="346"/>
      <c r="Q69" s="346"/>
      <c r="R69" s="346"/>
      <c r="S69" s="356"/>
      <c r="U69" s="123"/>
      <c r="V69" s="123"/>
      <c r="W69" s="123"/>
      <c r="X69" s="123"/>
      <c r="Y69" s="123"/>
      <c r="Z69" s="123"/>
      <c r="AA69" s="123"/>
      <c r="AB69" s="123"/>
      <c r="AC69" s="123"/>
      <c r="AD69" s="123"/>
      <c r="AE69" s="123"/>
      <c r="AF69" s="123"/>
      <c r="AG69" s="123"/>
      <c r="AH69" s="123"/>
      <c r="AI69" s="123"/>
      <c r="AJ69" s="123"/>
      <c r="AK69" s="123"/>
      <c r="AL69" s="123"/>
      <c r="AM69" s="123"/>
      <c r="AN69" s="123"/>
    </row>
    <row r="70" spans="2:40" s="3" customFormat="1" ht="15" customHeight="1" x14ac:dyDescent="0.45">
      <c r="B70" s="346"/>
      <c r="C70" s="346"/>
      <c r="D70" s="346"/>
      <c r="E70" s="346"/>
      <c r="F70" s="346"/>
      <c r="G70" s="346"/>
      <c r="H70" s="346"/>
      <c r="I70" s="346"/>
      <c r="J70" s="346"/>
      <c r="K70" s="346"/>
      <c r="L70" s="346"/>
      <c r="M70" s="346"/>
      <c r="N70" s="346"/>
      <c r="O70" s="346"/>
      <c r="P70" s="346"/>
      <c r="Q70" s="346"/>
      <c r="R70" s="346"/>
      <c r="S70" s="356"/>
      <c r="U70" s="123"/>
      <c r="V70" s="123"/>
      <c r="W70" s="123"/>
      <c r="X70" s="123"/>
      <c r="Y70" s="123"/>
      <c r="Z70" s="123"/>
      <c r="AA70" s="123"/>
      <c r="AB70" s="123"/>
      <c r="AC70" s="123"/>
      <c r="AD70" s="123"/>
      <c r="AE70" s="123"/>
      <c r="AF70" s="123"/>
      <c r="AG70" s="123"/>
      <c r="AH70" s="123"/>
      <c r="AI70" s="123"/>
      <c r="AJ70" s="123"/>
      <c r="AK70" s="123"/>
      <c r="AL70" s="123"/>
      <c r="AM70" s="123"/>
      <c r="AN70" s="123"/>
    </row>
    <row r="71" spans="2:40" s="3" customFormat="1" ht="15" customHeight="1" x14ac:dyDescent="0.45">
      <c r="B71" s="346"/>
      <c r="C71" s="346"/>
      <c r="D71" s="346"/>
      <c r="E71" s="346"/>
      <c r="F71" s="346"/>
      <c r="G71" s="346"/>
      <c r="H71" s="346"/>
      <c r="I71" s="346"/>
      <c r="J71" s="346"/>
      <c r="K71" s="346"/>
      <c r="L71" s="346"/>
      <c r="M71" s="346"/>
      <c r="N71" s="346"/>
      <c r="O71" s="346"/>
      <c r="P71" s="346"/>
      <c r="Q71" s="346"/>
      <c r="R71" s="346"/>
      <c r="S71" s="356"/>
      <c r="U71" s="123"/>
      <c r="V71" s="123"/>
      <c r="W71" s="123"/>
      <c r="X71" s="123"/>
      <c r="Y71" s="123"/>
      <c r="Z71" s="123"/>
      <c r="AA71" s="123"/>
      <c r="AB71" s="123"/>
      <c r="AC71" s="123"/>
      <c r="AD71" s="123"/>
      <c r="AE71" s="123"/>
      <c r="AF71" s="123"/>
      <c r="AG71" s="123"/>
      <c r="AH71" s="123"/>
      <c r="AI71" s="123"/>
      <c r="AJ71" s="123"/>
      <c r="AK71" s="123"/>
      <c r="AL71" s="123"/>
      <c r="AM71" s="123"/>
      <c r="AN71" s="123"/>
    </row>
    <row r="72" spans="2:40" s="3" customFormat="1" ht="15" customHeight="1" x14ac:dyDescent="0.45">
      <c r="B72" s="346"/>
      <c r="C72" s="346"/>
      <c r="D72" s="346"/>
      <c r="E72" s="346"/>
      <c r="F72" s="346"/>
      <c r="G72" s="346"/>
      <c r="H72" s="346"/>
      <c r="I72" s="346"/>
      <c r="J72" s="346"/>
      <c r="K72" s="346"/>
      <c r="L72" s="346"/>
      <c r="M72" s="346"/>
      <c r="N72" s="346"/>
      <c r="O72" s="346"/>
      <c r="P72" s="346"/>
      <c r="Q72" s="346"/>
      <c r="R72" s="346"/>
      <c r="S72" s="356"/>
      <c r="U72" s="123"/>
      <c r="V72" s="123"/>
      <c r="W72" s="123"/>
      <c r="X72" s="123"/>
      <c r="Y72" s="123"/>
      <c r="Z72" s="123"/>
      <c r="AA72" s="123"/>
      <c r="AB72" s="123"/>
      <c r="AC72" s="123"/>
      <c r="AD72" s="123"/>
      <c r="AE72" s="123"/>
      <c r="AF72" s="123"/>
      <c r="AG72" s="123"/>
      <c r="AH72" s="123"/>
      <c r="AI72" s="123"/>
      <c r="AJ72" s="123"/>
      <c r="AK72" s="123"/>
      <c r="AL72" s="123"/>
      <c r="AM72" s="123"/>
      <c r="AN72" s="123"/>
    </row>
    <row r="73" spans="2:40" s="3" customFormat="1" ht="15" customHeight="1" x14ac:dyDescent="0.45">
      <c r="B73" s="346"/>
      <c r="C73" s="346"/>
      <c r="D73" s="346"/>
      <c r="E73" s="346"/>
      <c r="F73" s="346"/>
      <c r="G73" s="346"/>
      <c r="H73" s="346"/>
      <c r="I73" s="346"/>
      <c r="J73" s="346"/>
      <c r="K73" s="346"/>
      <c r="L73" s="346"/>
      <c r="M73" s="346"/>
      <c r="N73" s="346"/>
      <c r="O73" s="346"/>
      <c r="P73" s="346"/>
      <c r="Q73" s="346"/>
      <c r="R73" s="346"/>
      <c r="S73" s="356"/>
      <c r="U73" s="123"/>
      <c r="V73" s="123"/>
      <c r="W73" s="123"/>
      <c r="X73" s="123"/>
      <c r="Y73" s="123"/>
      <c r="Z73" s="123"/>
      <c r="AA73" s="123"/>
      <c r="AB73" s="123"/>
      <c r="AC73" s="123"/>
      <c r="AD73" s="123"/>
      <c r="AE73" s="123"/>
      <c r="AF73" s="123"/>
      <c r="AG73" s="123"/>
      <c r="AH73" s="123"/>
      <c r="AI73" s="123"/>
      <c r="AJ73" s="123"/>
      <c r="AK73" s="123"/>
      <c r="AL73" s="123"/>
      <c r="AM73" s="123"/>
      <c r="AN73" s="123"/>
    </row>
    <row r="74" spans="2:40" s="3" customFormat="1" ht="15" customHeight="1" x14ac:dyDescent="0.45">
      <c r="B74" s="346"/>
      <c r="C74" s="346"/>
      <c r="D74" s="346"/>
      <c r="E74" s="346"/>
      <c r="F74" s="346"/>
      <c r="G74" s="346"/>
      <c r="H74" s="346"/>
      <c r="I74" s="346"/>
      <c r="J74" s="346"/>
      <c r="K74" s="346"/>
      <c r="L74" s="346"/>
      <c r="M74" s="346"/>
      <c r="N74" s="346"/>
      <c r="O74" s="346"/>
      <c r="P74" s="346"/>
      <c r="Q74" s="346"/>
      <c r="R74" s="346"/>
      <c r="S74" s="356"/>
      <c r="U74" s="123"/>
      <c r="V74" s="123"/>
      <c r="W74" s="123"/>
      <c r="X74" s="123"/>
      <c r="Y74" s="123"/>
      <c r="Z74" s="123"/>
      <c r="AA74" s="123"/>
      <c r="AB74" s="123"/>
      <c r="AC74" s="123"/>
      <c r="AD74" s="123"/>
      <c r="AE74" s="123"/>
      <c r="AF74" s="123"/>
      <c r="AG74" s="123"/>
      <c r="AH74" s="123"/>
      <c r="AI74" s="123"/>
      <c r="AJ74" s="123"/>
      <c r="AK74" s="123"/>
      <c r="AL74" s="123"/>
      <c r="AM74" s="123"/>
      <c r="AN74" s="123"/>
    </row>
    <row r="75" spans="2:40" s="3" customFormat="1" ht="15" customHeight="1" x14ac:dyDescent="0.45">
      <c r="B75" s="346"/>
      <c r="C75" s="346"/>
      <c r="D75" s="346"/>
      <c r="E75" s="346"/>
      <c r="F75" s="346"/>
      <c r="G75" s="346"/>
      <c r="H75" s="346"/>
      <c r="I75" s="346"/>
      <c r="J75" s="346"/>
      <c r="K75" s="346"/>
      <c r="L75" s="346"/>
      <c r="M75" s="346"/>
      <c r="N75" s="346"/>
      <c r="O75" s="346"/>
      <c r="P75" s="346"/>
      <c r="Q75" s="346"/>
      <c r="R75" s="346"/>
      <c r="S75" s="356"/>
      <c r="U75" s="123"/>
      <c r="V75" s="123"/>
      <c r="W75" s="123"/>
      <c r="X75" s="123"/>
      <c r="Y75" s="123"/>
      <c r="Z75" s="123"/>
      <c r="AA75" s="123"/>
      <c r="AB75" s="123"/>
      <c r="AC75" s="123"/>
      <c r="AD75" s="123"/>
      <c r="AE75" s="123"/>
      <c r="AF75" s="123"/>
      <c r="AG75" s="123"/>
      <c r="AH75" s="123"/>
      <c r="AI75" s="123"/>
      <c r="AJ75" s="123"/>
      <c r="AK75" s="123"/>
      <c r="AL75" s="123"/>
      <c r="AM75" s="123"/>
      <c r="AN75" s="123"/>
    </row>
    <row r="76" spans="2:40" s="3" customFormat="1" ht="15" customHeight="1" x14ac:dyDescent="0.45">
      <c r="B76" s="346"/>
      <c r="C76" s="346"/>
      <c r="D76" s="346"/>
      <c r="E76" s="346"/>
      <c r="F76" s="346"/>
      <c r="G76" s="346"/>
      <c r="H76" s="346"/>
      <c r="I76" s="346"/>
      <c r="J76" s="346"/>
      <c r="K76" s="346"/>
      <c r="L76" s="346"/>
      <c r="M76" s="346"/>
      <c r="N76" s="346"/>
      <c r="O76" s="346"/>
      <c r="P76" s="346"/>
      <c r="Q76" s="346"/>
      <c r="R76" s="346"/>
      <c r="S76" s="356"/>
      <c r="U76" s="123"/>
      <c r="V76" s="123"/>
      <c r="W76" s="123"/>
      <c r="X76" s="123"/>
      <c r="Y76" s="123"/>
      <c r="Z76" s="123"/>
      <c r="AA76" s="123"/>
      <c r="AB76" s="123"/>
      <c r="AC76" s="123"/>
      <c r="AD76" s="123"/>
      <c r="AE76" s="123"/>
      <c r="AF76" s="123"/>
      <c r="AG76" s="123"/>
      <c r="AH76" s="123"/>
      <c r="AI76" s="123"/>
      <c r="AJ76" s="123"/>
      <c r="AK76" s="123"/>
      <c r="AL76" s="123"/>
      <c r="AM76" s="123"/>
      <c r="AN76" s="123"/>
    </row>
    <row r="77" spans="2:40" s="3" customFormat="1" ht="15" customHeight="1" x14ac:dyDescent="0.45">
      <c r="B77" s="346"/>
      <c r="C77" s="346"/>
      <c r="D77" s="346"/>
      <c r="E77" s="346"/>
      <c r="F77" s="346"/>
      <c r="G77" s="346"/>
      <c r="H77" s="346"/>
      <c r="I77" s="346"/>
      <c r="J77" s="346"/>
      <c r="K77" s="346"/>
      <c r="L77" s="346"/>
      <c r="M77" s="346"/>
      <c r="N77" s="346"/>
      <c r="O77" s="346"/>
      <c r="P77" s="346"/>
      <c r="Q77" s="346"/>
      <c r="R77" s="346"/>
      <c r="S77" s="356"/>
      <c r="U77" s="123"/>
      <c r="V77" s="123"/>
      <c r="W77" s="123"/>
      <c r="X77" s="123"/>
      <c r="Y77" s="123"/>
      <c r="Z77" s="123"/>
      <c r="AA77" s="123"/>
      <c r="AB77" s="123"/>
      <c r="AC77" s="123"/>
      <c r="AD77" s="123"/>
      <c r="AE77" s="123"/>
      <c r="AF77" s="123"/>
      <c r="AG77" s="123"/>
      <c r="AH77" s="123"/>
      <c r="AI77" s="123"/>
      <c r="AJ77" s="123"/>
      <c r="AK77" s="123"/>
      <c r="AL77" s="123"/>
      <c r="AM77" s="123"/>
      <c r="AN77" s="123"/>
    </row>
    <row r="78" spans="2:40" s="3" customFormat="1" ht="15" customHeight="1" x14ac:dyDescent="0.45">
      <c r="B78" s="346"/>
      <c r="C78" s="346"/>
      <c r="D78" s="346"/>
      <c r="E78" s="346"/>
      <c r="F78" s="346"/>
      <c r="G78" s="346"/>
      <c r="H78" s="346"/>
      <c r="I78" s="346"/>
      <c r="J78" s="346"/>
      <c r="K78" s="346"/>
      <c r="L78" s="346"/>
      <c r="M78" s="346"/>
      <c r="N78" s="346"/>
      <c r="O78" s="346"/>
      <c r="P78" s="346"/>
      <c r="Q78" s="346"/>
      <c r="R78" s="346"/>
      <c r="S78" s="356"/>
      <c r="U78" s="123"/>
      <c r="V78" s="123"/>
      <c r="W78" s="123"/>
      <c r="X78" s="123"/>
      <c r="Y78" s="123"/>
      <c r="Z78" s="123"/>
      <c r="AA78" s="123"/>
      <c r="AB78" s="123"/>
      <c r="AC78" s="123"/>
      <c r="AD78" s="123"/>
      <c r="AE78" s="123"/>
      <c r="AF78" s="123"/>
      <c r="AG78" s="123"/>
      <c r="AH78" s="123"/>
      <c r="AI78" s="123"/>
      <c r="AJ78" s="123"/>
      <c r="AK78" s="123"/>
      <c r="AL78" s="123"/>
      <c r="AM78" s="123"/>
      <c r="AN78" s="123"/>
    </row>
    <row r="79" spans="2:40" s="3" customFormat="1" ht="15" customHeight="1" x14ac:dyDescent="0.45">
      <c r="B79" s="346"/>
      <c r="C79" s="346"/>
      <c r="D79" s="346"/>
      <c r="E79" s="346"/>
      <c r="F79" s="346"/>
      <c r="G79" s="346"/>
      <c r="H79" s="346"/>
      <c r="I79" s="346"/>
      <c r="J79" s="346"/>
      <c r="K79" s="346"/>
      <c r="L79" s="346"/>
      <c r="M79" s="346"/>
      <c r="N79" s="346"/>
      <c r="O79" s="346"/>
      <c r="P79" s="346"/>
      <c r="Q79" s="346"/>
      <c r="R79" s="346"/>
      <c r="S79" s="356"/>
      <c r="U79" s="123"/>
      <c r="V79" s="123"/>
      <c r="W79" s="123"/>
      <c r="X79" s="123"/>
      <c r="Y79" s="123"/>
      <c r="Z79" s="123"/>
      <c r="AA79" s="123"/>
      <c r="AB79" s="123"/>
      <c r="AC79" s="123"/>
      <c r="AD79" s="123"/>
      <c r="AE79" s="123"/>
      <c r="AF79" s="123"/>
      <c r="AG79" s="123"/>
      <c r="AH79" s="123"/>
      <c r="AI79" s="123"/>
      <c r="AJ79" s="123"/>
      <c r="AK79" s="123"/>
      <c r="AL79" s="123"/>
      <c r="AM79" s="123"/>
      <c r="AN79" s="123"/>
    </row>
    <row r="80" spans="2:40" s="3" customFormat="1" ht="15" customHeight="1" x14ac:dyDescent="0.45">
      <c r="B80" s="346"/>
      <c r="C80" s="346"/>
      <c r="D80" s="346"/>
      <c r="E80" s="346"/>
      <c r="F80" s="346"/>
      <c r="G80" s="346"/>
      <c r="H80" s="346"/>
      <c r="I80" s="346"/>
      <c r="J80" s="346"/>
      <c r="K80" s="346"/>
      <c r="L80" s="346"/>
      <c r="M80" s="346"/>
      <c r="N80" s="346"/>
      <c r="O80" s="346"/>
      <c r="P80" s="346"/>
      <c r="Q80" s="346"/>
      <c r="R80" s="346"/>
      <c r="S80" s="356"/>
      <c r="U80" s="123"/>
      <c r="V80" s="123"/>
      <c r="W80" s="123"/>
      <c r="X80" s="123"/>
      <c r="Y80" s="123"/>
      <c r="Z80" s="123"/>
      <c r="AA80" s="123"/>
      <c r="AB80" s="123"/>
      <c r="AC80" s="123"/>
      <c r="AD80" s="123"/>
      <c r="AE80" s="123"/>
      <c r="AF80" s="123"/>
      <c r="AG80" s="123"/>
      <c r="AH80" s="123"/>
      <c r="AI80" s="123"/>
      <c r="AJ80" s="123"/>
      <c r="AK80" s="123"/>
      <c r="AL80" s="123"/>
      <c r="AM80" s="123"/>
      <c r="AN80" s="123"/>
    </row>
    <row r="81" spans="2:40" s="3" customFormat="1" ht="15" customHeight="1" x14ac:dyDescent="0.45">
      <c r="B81" s="346"/>
      <c r="C81" s="346"/>
      <c r="D81" s="346"/>
      <c r="E81" s="346"/>
      <c r="F81" s="346"/>
      <c r="G81" s="346"/>
      <c r="H81" s="346"/>
      <c r="I81" s="346"/>
      <c r="J81" s="346"/>
      <c r="K81" s="346"/>
      <c r="L81" s="346"/>
      <c r="M81" s="346"/>
      <c r="N81" s="346"/>
      <c r="O81" s="346"/>
      <c r="P81" s="346"/>
      <c r="Q81" s="346"/>
      <c r="R81" s="346"/>
      <c r="S81" s="356"/>
      <c r="U81" s="123"/>
      <c r="V81" s="123"/>
      <c r="W81" s="123"/>
      <c r="X81" s="123"/>
      <c r="Y81" s="123"/>
      <c r="Z81" s="123"/>
      <c r="AA81" s="123"/>
      <c r="AB81" s="123"/>
      <c r="AC81" s="123"/>
      <c r="AD81" s="123"/>
      <c r="AE81" s="123"/>
      <c r="AF81" s="123"/>
      <c r="AG81" s="123"/>
      <c r="AH81" s="123"/>
      <c r="AI81" s="123"/>
      <c r="AJ81" s="123"/>
      <c r="AK81" s="123"/>
      <c r="AL81" s="123"/>
      <c r="AM81" s="123"/>
      <c r="AN81" s="123"/>
    </row>
    <row r="82" spans="2:40" s="3" customFormat="1" ht="15" customHeight="1" x14ac:dyDescent="0.45">
      <c r="B82" s="346"/>
      <c r="C82" s="346"/>
      <c r="D82" s="346"/>
      <c r="E82" s="346"/>
      <c r="F82" s="346"/>
      <c r="G82" s="346"/>
      <c r="H82" s="346"/>
      <c r="I82" s="346"/>
      <c r="J82" s="346"/>
      <c r="K82" s="346"/>
      <c r="L82" s="346"/>
      <c r="M82" s="346"/>
      <c r="N82" s="346"/>
      <c r="O82" s="346"/>
      <c r="P82" s="346"/>
      <c r="Q82" s="346"/>
      <c r="R82" s="346"/>
      <c r="S82" s="356"/>
      <c r="U82" s="123"/>
      <c r="V82" s="123"/>
      <c r="W82" s="123"/>
      <c r="X82" s="123"/>
      <c r="Y82" s="123"/>
      <c r="Z82" s="123"/>
      <c r="AA82" s="123"/>
      <c r="AB82" s="123"/>
      <c r="AC82" s="123"/>
      <c r="AD82" s="123"/>
      <c r="AE82" s="123"/>
      <c r="AF82" s="123"/>
      <c r="AG82" s="123"/>
      <c r="AH82" s="123"/>
      <c r="AI82" s="123"/>
      <c r="AJ82" s="123"/>
      <c r="AK82" s="123"/>
      <c r="AL82" s="123"/>
      <c r="AM82" s="123"/>
      <c r="AN82" s="123"/>
    </row>
    <row r="83" spans="2:40" s="3" customFormat="1" ht="15" customHeight="1" x14ac:dyDescent="0.45">
      <c r="B83" s="346"/>
      <c r="C83" s="346"/>
      <c r="D83" s="346"/>
      <c r="E83" s="346"/>
      <c r="F83" s="346"/>
      <c r="G83" s="346"/>
      <c r="H83" s="346"/>
      <c r="I83" s="346"/>
      <c r="J83" s="346"/>
      <c r="K83" s="346"/>
      <c r="L83" s="346"/>
      <c r="M83" s="346"/>
      <c r="N83" s="346"/>
      <c r="O83" s="346"/>
      <c r="P83" s="346"/>
      <c r="Q83" s="346"/>
      <c r="R83" s="346"/>
      <c r="S83" s="356"/>
      <c r="U83" s="123"/>
      <c r="V83" s="123"/>
      <c r="W83" s="123"/>
      <c r="X83" s="123"/>
      <c r="Y83" s="123"/>
      <c r="Z83" s="123"/>
      <c r="AA83" s="123"/>
      <c r="AB83" s="123"/>
      <c r="AC83" s="123"/>
      <c r="AD83" s="123"/>
      <c r="AE83" s="123"/>
      <c r="AF83" s="123"/>
      <c r="AG83" s="123"/>
      <c r="AH83" s="123"/>
      <c r="AI83" s="123"/>
      <c r="AJ83" s="123"/>
      <c r="AK83" s="123"/>
      <c r="AL83" s="123"/>
      <c r="AM83" s="123"/>
      <c r="AN83" s="123"/>
    </row>
    <row r="84" spans="2:40" s="3" customFormat="1" ht="15" customHeight="1" x14ac:dyDescent="0.45">
      <c r="B84" s="346"/>
      <c r="C84" s="346"/>
      <c r="D84" s="346"/>
      <c r="E84" s="346"/>
      <c r="F84" s="346"/>
      <c r="G84" s="346"/>
      <c r="H84" s="346"/>
      <c r="I84" s="346"/>
      <c r="J84" s="346"/>
      <c r="K84" s="346"/>
      <c r="L84" s="346"/>
      <c r="M84" s="346"/>
      <c r="N84" s="346"/>
      <c r="O84" s="346"/>
      <c r="P84" s="346"/>
      <c r="Q84" s="346"/>
      <c r="R84" s="346"/>
      <c r="S84" s="356"/>
      <c r="U84" s="123"/>
      <c r="V84" s="123"/>
      <c r="W84" s="123"/>
      <c r="X84" s="123"/>
      <c r="Y84" s="123"/>
      <c r="Z84" s="123"/>
      <c r="AA84" s="123"/>
      <c r="AB84" s="123"/>
      <c r="AC84" s="123"/>
      <c r="AD84" s="123"/>
      <c r="AE84" s="123"/>
      <c r="AF84" s="123"/>
      <c r="AG84" s="123"/>
      <c r="AH84" s="123"/>
      <c r="AI84" s="123"/>
      <c r="AJ84" s="123"/>
      <c r="AK84" s="123"/>
      <c r="AL84" s="123"/>
      <c r="AM84" s="123"/>
      <c r="AN84" s="123"/>
    </row>
  </sheetData>
  <mergeCells count="57">
    <mergeCell ref="H9:L9"/>
    <mergeCell ref="N9:O9"/>
    <mergeCell ref="H10:L10"/>
    <mergeCell ref="N10:O10"/>
    <mergeCell ref="D12:L12"/>
    <mergeCell ref="H6:L6"/>
    <mergeCell ref="N6:O6"/>
    <mergeCell ref="H7:L7"/>
    <mergeCell ref="N7:O7"/>
    <mergeCell ref="H8:L8"/>
    <mergeCell ref="N8:O8"/>
    <mergeCell ref="C19:D19"/>
    <mergeCell ref="E19:F19"/>
    <mergeCell ref="I19:J19"/>
    <mergeCell ref="K19:L19"/>
    <mergeCell ref="I17:J17"/>
    <mergeCell ref="K17:L17"/>
    <mergeCell ref="C18:D18"/>
    <mergeCell ref="E18:F18"/>
    <mergeCell ref="I18:J18"/>
    <mergeCell ref="K18:L18"/>
    <mergeCell ref="I22:S22"/>
    <mergeCell ref="I23:S23"/>
    <mergeCell ref="C21:S21"/>
    <mergeCell ref="B3:S4"/>
    <mergeCell ref="R5:S5"/>
    <mergeCell ref="R6:S11"/>
    <mergeCell ref="C16:F16"/>
    <mergeCell ref="M13:M15"/>
    <mergeCell ref="S13:S15"/>
    <mergeCell ref="B13:B19"/>
    <mergeCell ref="D13:L13"/>
    <mergeCell ref="C17:D17"/>
    <mergeCell ref="E17:F17"/>
    <mergeCell ref="G17:G19"/>
    <mergeCell ref="D14:L14"/>
    <mergeCell ref="D15:L15"/>
    <mergeCell ref="D24:E24"/>
    <mergeCell ref="D25:E25"/>
    <mergeCell ref="D26:E26"/>
    <mergeCell ref="D22:E22"/>
    <mergeCell ref="D23:E23"/>
    <mergeCell ref="D30:E30"/>
    <mergeCell ref="D31:E31"/>
    <mergeCell ref="D32:E32"/>
    <mergeCell ref="D27:E27"/>
    <mergeCell ref="D28:E28"/>
    <mergeCell ref="D29:E29"/>
    <mergeCell ref="I32:S32"/>
    <mergeCell ref="I24:S24"/>
    <mergeCell ref="I25:S25"/>
    <mergeCell ref="I26:S26"/>
    <mergeCell ref="I27:S27"/>
    <mergeCell ref="I28:S28"/>
    <mergeCell ref="I29:S29"/>
    <mergeCell ref="I30:S30"/>
    <mergeCell ref="I31:S31"/>
  </mergeCells>
  <conditionalFormatting sqref="C13:M13 Q13:S13 D14:L14 C15 Q15:R15">
    <cfRule type="expression" dxfId="23" priority="29" stopIfTrue="1">
      <formula>($N$9="Non-Automotive")</formula>
    </cfRule>
  </conditionalFormatting>
  <conditionalFormatting sqref="E17:F17">
    <cfRule type="containsText" dxfId="19" priority="1" operator="containsText" text="Conditional Approved">
      <formula>NOT(ISERROR(SEARCH("Conditional Approved",E17)))</formula>
    </cfRule>
    <cfRule type="containsText" dxfId="18" priority="2" operator="containsText" text="Rejected">
      <formula>NOT(ISERROR(SEARCH("Rejected",E17)))</formula>
    </cfRule>
    <cfRule type="containsText" dxfId="17" priority="3" operator="containsText" text="Approved">
      <formula>NOT(ISERROR(SEARCH("Approved",E17)))</formula>
    </cfRule>
    <cfRule type="containsText" dxfId="16" priority="4" operator="containsText" text="Completed">
      <formula>NOT(ISERROR(SEARCH("Completed",E17)))</formula>
    </cfRule>
    <cfRule type="containsText" dxfId="15" priority="5" operator="containsText" text="Launched">
      <formula>NOT(ISERROR(SEARCH("Launched",E17)))</formula>
    </cfRule>
    <cfRule type="containsText" dxfId="14" priority="6" operator="containsText" text="Not started">
      <formula>NOT(ISERROR(SEARCH("Not started",E17)))</formula>
    </cfRule>
  </conditionalFormatting>
  <conditionalFormatting sqref="N13:N15">
    <cfRule type="containsText" dxfId="13" priority="18" operator="containsText" text="Rejected">
      <formula>NOT(ISERROR(SEARCH("Rejected",N13)))</formula>
    </cfRule>
    <cfRule type="containsText" dxfId="12" priority="19" operator="containsText" text="Approved">
      <formula>NOT(ISERROR(SEARCH("Approved",N13)))</formula>
    </cfRule>
    <cfRule type="containsText" dxfId="11" priority="20" operator="containsText" text="Under Review">
      <formula>NOT(ISERROR(SEARCH("Under Review",N13)))</formula>
    </cfRule>
    <cfRule type="containsText" dxfId="10" priority="21" operator="containsText" text="Done">
      <formula>NOT(ISERROR(SEARCH("Done",N13)))</formula>
    </cfRule>
    <cfRule type="containsText" dxfId="9" priority="22" operator="containsText" text="Doing">
      <formula>NOT(ISERROR(SEARCH("Doing",N13)))</formula>
    </cfRule>
    <cfRule type="containsText" dxfId="8" priority="23" operator="containsText" text="Pending">
      <formula>NOT(ISERROR(SEARCH("Pending",N13)))</formula>
    </cfRule>
    <cfRule type="colorScale" priority="24">
      <colorScale>
        <cfvo type="min"/>
        <cfvo type="percentile" val="50"/>
        <cfvo type="max"/>
        <color rgb="FFF8696B"/>
        <color rgb="FFFFEB84"/>
        <color rgb="FF63BE7B"/>
      </colorScale>
    </cfRule>
  </conditionalFormatting>
  <dataValidations count="1">
    <dataValidation allowBlank="1" showInputMessage="1" showErrorMessage="1" sqref="Q5:Q11 Q2 Q20 Q33:Q1048576" xr:uid="{6B6D3D29-B14F-4908-A96A-477C33DFB0D3}"/>
  </dataValidation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7" stopIfTrue="1" operator="containsText" id="{950C315C-D78A-4D46-A1EB-9B75B060CFB9}">
            <xm:f>NOT(ISERROR(SEARCH($Z$4,E17)))</xm:f>
            <xm:f>$Z$4</xm:f>
            <x14:dxf>
              <fill>
                <patternFill>
                  <bgColor rgb="FFFFFF99"/>
                </patternFill>
              </fill>
            </x14:dxf>
          </x14:cfRule>
          <x14:cfRule type="containsText" priority="8" stopIfTrue="1" operator="containsText" id="{33E917FD-A324-4BCB-A730-F3B5606E94B0}">
            <xm:f>NOT(ISERROR(SEARCH($Z$3,E17)))</xm:f>
            <xm:f>$Z$3</xm:f>
            <x14:dxf>
              <fill>
                <patternFill>
                  <bgColor rgb="FFFFCCCC"/>
                </patternFill>
              </fill>
            </x14:dxf>
          </x14:cfRule>
          <x14:cfRule type="containsText" priority="9" stopIfTrue="1" operator="containsText" id="{1D6D3AB5-3E46-4826-8E8B-FC53C003089E}">
            <xm:f>NOT(ISERROR(SEARCH(#REF!,E17)))</xm:f>
            <xm:f>#REF!</xm:f>
            <x14:dxf>
              <fill>
                <patternFill>
                  <bgColor theme="9" tint="0.39994506668294322"/>
                </patternFill>
              </fill>
            </x14:dxf>
          </x14:cfRule>
          <xm:sqref>E17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F2C7D97-C642-491A-A087-F327E16F075A}">
          <x14:formula1>
            <xm:f>'1. Feasibility'!$Q$3:$Q$8</xm:f>
          </x14:formula1>
          <xm:sqref>N13:N15</xm:sqref>
        </x14:dataValidation>
        <x14:dataValidation type="list" allowBlank="1" showInputMessage="1" showErrorMessage="1" xr:uid="{0F072C3A-0DC8-40B4-813B-DF4C37116CB9}">
          <x14:formula1>
            <xm:f>'0.APQP GRC'!$Y$3:$Y$8</xm:f>
          </x14:formula1>
          <xm:sqref>E17:F17</xm:sqref>
        </x14:dataValidation>
        <x14:dataValidation type="list" allowBlank="1" showInputMessage="1" showErrorMessage="1" xr:uid="{CF26E23B-83E9-45B8-BA79-544A6E903AC4}">
          <x14:formula1>
            <xm:f>'1. Feasibility'!$Y$4:$Y$5</xm:f>
          </x14:formula1>
          <xm:sqref>H23:H32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85BF-D24A-4A93-8A79-A9E2308F7598}">
  <sheetPr codeName="Hoja10">
    <outlinePr summaryBelow="0" summaryRight="0"/>
    <pageSetUpPr fitToPage="1"/>
  </sheetPr>
  <dimension ref="A1:AS85"/>
  <sheetViews>
    <sheetView showGridLines="0" topLeftCell="A2" zoomScale="90" zoomScaleNormal="90" zoomScaleSheetLayoutView="40" zoomScalePageLayoutView="55" workbookViewId="0">
      <selection activeCell="C11" sqref="C11"/>
    </sheetView>
  </sheetViews>
  <sheetFormatPr baseColWidth="10" defaultColWidth="0" defaultRowHeight="0" customHeight="1" zeroHeight="1" x14ac:dyDescent="0.45"/>
  <cols>
    <col min="1" max="1" width="4.453125" style="3" customWidth="1"/>
    <col min="2" max="2" width="10.54296875" style="484" customWidth="1"/>
    <col min="3" max="3" width="41" style="484" customWidth="1"/>
    <col min="4" max="4" width="51.1796875" style="484" customWidth="1"/>
    <col min="5" max="5" width="4.1796875" style="3" customWidth="1" collapsed="1"/>
    <col min="6" max="6" width="20.1796875" style="123" hidden="1" customWidth="1"/>
    <col min="7" max="7" width="12.54296875" style="123" hidden="1" customWidth="1"/>
    <col min="8" max="12" width="11.54296875" style="123" hidden="1" customWidth="1"/>
    <col min="13" max="45" width="0" style="123" hidden="1" customWidth="1"/>
    <col min="46" max="16384" width="11.54296875" style="123" hidden="1"/>
  </cols>
  <sheetData>
    <row r="1" spans="1:14" ht="15" customHeight="1" thickBot="1" x14ac:dyDescent="0.35">
      <c r="A1" s="3" t="s">
        <v>158</v>
      </c>
      <c r="B1" s="3"/>
      <c r="C1" s="3"/>
      <c r="D1" s="3"/>
    </row>
    <row r="2" spans="1:14" ht="26.5" thickBot="1" x14ac:dyDescent="0.35">
      <c r="B2" s="819" t="s">
        <v>470</v>
      </c>
      <c r="C2" s="820"/>
      <c r="D2" s="821"/>
    </row>
    <row r="3" spans="1:14" ht="15" customHeight="1" x14ac:dyDescent="0.35">
      <c r="B3" s="822" t="s">
        <v>471</v>
      </c>
      <c r="C3" s="282" t="s">
        <v>472</v>
      </c>
      <c r="D3" s="277"/>
      <c r="F3" s="123" t="s">
        <v>3</v>
      </c>
      <c r="G3" s="123" t="s">
        <v>4</v>
      </c>
      <c r="H3" s="123" t="s">
        <v>5</v>
      </c>
      <c r="J3" s="123" t="s">
        <v>6</v>
      </c>
      <c r="L3" s="123" t="s">
        <v>6</v>
      </c>
    </row>
    <row r="4" spans="1:14" ht="14.5" x14ac:dyDescent="0.35">
      <c r="B4" s="823"/>
      <c r="C4" s="283" t="s">
        <v>53</v>
      </c>
      <c r="D4" s="278"/>
      <c r="F4" s="123" t="s">
        <v>8</v>
      </c>
      <c r="G4" s="123" t="s">
        <v>9</v>
      </c>
      <c r="H4" s="123" t="s">
        <v>10</v>
      </c>
      <c r="J4" s="123" t="s">
        <v>11</v>
      </c>
      <c r="L4" s="123" t="s">
        <v>12</v>
      </c>
    </row>
    <row r="5" spans="1:14" ht="15" customHeight="1" x14ac:dyDescent="0.35">
      <c r="B5" s="823"/>
      <c r="C5" s="283" t="s">
        <v>473</v>
      </c>
      <c r="D5" s="278"/>
      <c r="G5" s="123" t="s">
        <v>14</v>
      </c>
      <c r="J5" s="123" t="s">
        <v>15</v>
      </c>
      <c r="L5" s="123" t="s">
        <v>16</v>
      </c>
    </row>
    <row r="6" spans="1:14" ht="15" customHeight="1" x14ac:dyDescent="0.35">
      <c r="B6" s="823"/>
      <c r="C6" s="283" t="s">
        <v>474</v>
      </c>
      <c r="D6" s="278"/>
      <c r="L6" s="123" t="s">
        <v>21</v>
      </c>
    </row>
    <row r="7" spans="1:14" ht="15" customHeight="1" x14ac:dyDescent="0.35">
      <c r="B7" s="823"/>
      <c r="C7" s="283" t="s">
        <v>94</v>
      </c>
      <c r="D7" s="278"/>
      <c r="F7" s="124"/>
      <c r="G7" s="124"/>
      <c r="H7" s="124"/>
      <c r="I7" s="124"/>
      <c r="K7" s="124"/>
      <c r="L7" s="123" t="s">
        <v>26</v>
      </c>
      <c r="M7" s="124"/>
      <c r="N7" s="124"/>
    </row>
    <row r="8" spans="1:14" ht="15" customHeight="1" x14ac:dyDescent="0.35">
      <c r="B8" s="823"/>
      <c r="C8" s="283" t="s">
        <v>475</v>
      </c>
      <c r="D8" s="278"/>
      <c r="F8" s="124"/>
      <c r="G8" s="124"/>
      <c r="H8" s="124"/>
      <c r="I8" s="124"/>
      <c r="K8" s="124"/>
      <c r="L8" s="124"/>
      <c r="M8" s="124"/>
      <c r="N8" s="124"/>
    </row>
    <row r="9" spans="1:14" ht="15" customHeight="1" x14ac:dyDescent="0.35">
      <c r="B9" s="823"/>
      <c r="C9" s="283" t="s">
        <v>96</v>
      </c>
      <c r="D9" s="278"/>
      <c r="F9" s="124"/>
      <c r="G9" s="124"/>
      <c r="H9" s="124"/>
      <c r="I9" s="124"/>
      <c r="J9" s="124"/>
      <c r="K9" s="124"/>
      <c r="L9" s="124"/>
      <c r="M9" s="124"/>
      <c r="N9" s="124"/>
    </row>
    <row r="10" spans="1:14" ht="15" customHeight="1" x14ac:dyDescent="0.35">
      <c r="B10" s="823"/>
      <c r="C10" s="283" t="s">
        <v>476</v>
      </c>
      <c r="D10" s="278"/>
      <c r="F10" s="124"/>
      <c r="G10" s="124"/>
      <c r="H10" s="124"/>
      <c r="I10" s="124"/>
      <c r="J10" s="124"/>
      <c r="K10" s="124"/>
      <c r="L10" s="124"/>
      <c r="M10" s="124"/>
      <c r="N10" s="124"/>
    </row>
    <row r="11" spans="1:14" ht="14.5" x14ac:dyDescent="0.35">
      <c r="B11" s="823"/>
      <c r="C11" s="283" t="s">
        <v>173</v>
      </c>
      <c r="D11" s="278"/>
      <c r="F11" s="124"/>
      <c r="G11" s="124"/>
      <c r="H11" s="124"/>
      <c r="I11" s="124"/>
      <c r="J11" s="124"/>
      <c r="K11" s="124"/>
      <c r="L11" s="124"/>
      <c r="M11" s="124"/>
      <c r="N11" s="124"/>
    </row>
    <row r="12" spans="1:14" ht="14.5" x14ac:dyDescent="0.35">
      <c r="B12" s="823"/>
      <c r="C12" s="283" t="s">
        <v>238</v>
      </c>
      <c r="D12" s="278"/>
    </row>
    <row r="13" spans="1:14" ht="14.5" x14ac:dyDescent="0.35">
      <c r="B13" s="823"/>
      <c r="C13" s="283" t="s">
        <v>233</v>
      </c>
      <c r="D13" s="278"/>
    </row>
    <row r="14" spans="1:14" ht="14.5" x14ac:dyDescent="0.35">
      <c r="B14" s="823"/>
      <c r="C14" s="283" t="s">
        <v>114</v>
      </c>
      <c r="D14" s="278"/>
    </row>
    <row r="15" spans="1:14" ht="14.5" x14ac:dyDescent="0.35">
      <c r="B15" s="823"/>
      <c r="C15" s="283" t="s">
        <v>134</v>
      </c>
      <c r="D15" s="278"/>
    </row>
    <row r="16" spans="1:14" ht="73.400000000000006" hidden="1" customHeight="1" x14ac:dyDescent="0.35">
      <c r="B16" s="823"/>
      <c r="C16" s="283" t="s">
        <v>477</v>
      </c>
      <c r="D16" s="278"/>
    </row>
    <row r="17" spans="2:25" ht="36" hidden="1" customHeight="1" x14ac:dyDescent="0.35">
      <c r="B17" s="823"/>
      <c r="C17" s="283" t="s">
        <v>478</v>
      </c>
      <c r="D17" s="278"/>
    </row>
    <row r="18" spans="2:25" ht="15" hidden="1" customHeight="1" x14ac:dyDescent="0.35">
      <c r="B18" s="824"/>
      <c r="C18" s="284" t="s">
        <v>114</v>
      </c>
      <c r="D18" s="279"/>
    </row>
    <row r="19" spans="2:25" ht="15" customHeight="1" x14ac:dyDescent="0.35">
      <c r="B19" s="825" t="s">
        <v>479</v>
      </c>
      <c r="C19" s="285" t="s">
        <v>247</v>
      </c>
      <c r="D19" s="280"/>
    </row>
    <row r="20" spans="2:25" ht="14.9" customHeight="1" x14ac:dyDescent="0.35">
      <c r="B20" s="823"/>
      <c r="C20" s="283" t="s">
        <v>248</v>
      </c>
      <c r="D20" s="278"/>
    </row>
    <row r="21" spans="2:25" ht="15" customHeight="1" x14ac:dyDescent="0.35">
      <c r="B21" s="823"/>
      <c r="C21" s="283" t="s">
        <v>480</v>
      </c>
      <c r="D21" s="278"/>
    </row>
    <row r="22" spans="2:25" ht="15" customHeight="1" x14ac:dyDescent="0.35">
      <c r="B22" s="823"/>
      <c r="C22" s="283" t="s">
        <v>239</v>
      </c>
      <c r="D22" s="278"/>
    </row>
    <row r="23" spans="2:25" ht="15" customHeight="1" x14ac:dyDescent="0.35">
      <c r="B23" s="823"/>
      <c r="C23" s="283" t="s">
        <v>481</v>
      </c>
      <c r="D23" s="278"/>
    </row>
    <row r="24" spans="2:25" ht="15" customHeight="1" x14ac:dyDescent="0.35">
      <c r="B24" s="823"/>
      <c r="C24" s="283" t="s">
        <v>482</v>
      </c>
      <c r="D24" s="278"/>
    </row>
    <row r="25" spans="2:25" ht="15" customHeight="1" x14ac:dyDescent="0.35">
      <c r="B25" s="823"/>
      <c r="C25" s="283" t="s">
        <v>483</v>
      </c>
      <c r="D25" s="278"/>
    </row>
    <row r="26" spans="2:25" ht="15" customHeight="1" x14ac:dyDescent="0.35">
      <c r="B26" s="823"/>
      <c r="C26" s="283" t="s">
        <v>484</v>
      </c>
      <c r="D26" s="278"/>
    </row>
    <row r="27" spans="2:25" s="3" customFormat="1" ht="15" customHeight="1" x14ac:dyDescent="0.35">
      <c r="B27" s="823"/>
      <c r="C27" s="283" t="s">
        <v>485</v>
      </c>
      <c r="D27" s="278"/>
      <c r="F27" s="123"/>
      <c r="G27" s="123"/>
      <c r="H27" s="123"/>
      <c r="I27" s="123"/>
      <c r="J27" s="123"/>
      <c r="K27" s="123"/>
      <c r="L27" s="123"/>
      <c r="M27" s="123"/>
      <c r="N27" s="123"/>
      <c r="O27" s="123"/>
      <c r="P27" s="123"/>
      <c r="Q27" s="123"/>
      <c r="R27" s="123"/>
      <c r="S27" s="123"/>
      <c r="T27" s="123"/>
      <c r="U27" s="123"/>
      <c r="V27" s="123"/>
      <c r="W27" s="123"/>
      <c r="X27" s="123"/>
      <c r="Y27" s="123"/>
    </row>
    <row r="28" spans="2:25" s="3" customFormat="1" ht="15" customHeight="1" x14ac:dyDescent="0.35">
      <c r="B28" s="823"/>
      <c r="C28" s="283" t="s">
        <v>486</v>
      </c>
      <c r="D28" s="278"/>
      <c r="F28" s="123"/>
      <c r="G28" s="123"/>
      <c r="H28" s="123"/>
      <c r="I28" s="123"/>
      <c r="J28" s="123"/>
      <c r="K28" s="123"/>
      <c r="L28" s="123"/>
      <c r="M28" s="123"/>
      <c r="N28" s="123"/>
      <c r="O28" s="123"/>
      <c r="P28" s="123"/>
      <c r="Q28" s="123"/>
      <c r="R28" s="123"/>
      <c r="S28" s="123"/>
      <c r="T28" s="123"/>
      <c r="U28" s="123"/>
      <c r="V28" s="123"/>
      <c r="W28" s="123"/>
      <c r="X28" s="123"/>
      <c r="Y28" s="123"/>
    </row>
    <row r="29" spans="2:25" s="3" customFormat="1" ht="15" customHeight="1" x14ac:dyDescent="0.35">
      <c r="B29" s="823"/>
      <c r="C29" s="283" t="s">
        <v>188</v>
      </c>
      <c r="D29" s="278"/>
      <c r="F29" s="123"/>
      <c r="G29" s="123"/>
      <c r="H29" s="123"/>
      <c r="I29" s="123"/>
      <c r="J29" s="123"/>
      <c r="K29" s="123"/>
      <c r="L29" s="123"/>
      <c r="M29" s="123"/>
      <c r="N29" s="123"/>
      <c r="O29" s="123"/>
      <c r="P29" s="123"/>
      <c r="Q29" s="123"/>
      <c r="R29" s="123"/>
      <c r="S29" s="123"/>
      <c r="T29" s="123"/>
      <c r="U29" s="123"/>
      <c r="V29" s="123"/>
      <c r="W29" s="123"/>
      <c r="X29" s="123"/>
      <c r="Y29" s="123"/>
    </row>
    <row r="30" spans="2:25" s="3" customFormat="1" ht="15" customHeight="1" x14ac:dyDescent="0.35">
      <c r="B30" s="823"/>
      <c r="C30" s="283" t="s">
        <v>487</v>
      </c>
      <c r="D30" s="278"/>
      <c r="F30" s="123"/>
      <c r="G30" s="123"/>
      <c r="H30" s="123"/>
      <c r="I30" s="123"/>
      <c r="J30" s="123"/>
      <c r="K30" s="123"/>
      <c r="L30" s="123"/>
      <c r="M30" s="123"/>
      <c r="N30" s="123"/>
      <c r="O30" s="123"/>
      <c r="P30" s="123"/>
      <c r="Q30" s="123"/>
      <c r="R30" s="123"/>
      <c r="S30" s="123"/>
      <c r="T30" s="123"/>
      <c r="U30" s="123"/>
      <c r="V30" s="123"/>
      <c r="W30" s="123"/>
      <c r="X30" s="123"/>
      <c r="Y30" s="123"/>
    </row>
    <row r="31" spans="2:25" s="3" customFormat="1" ht="15" customHeight="1" x14ac:dyDescent="0.35">
      <c r="B31" s="823"/>
      <c r="C31" s="283" t="s">
        <v>488</v>
      </c>
      <c r="D31" s="278"/>
      <c r="F31" s="123"/>
      <c r="G31" s="123"/>
      <c r="H31" s="123"/>
      <c r="I31" s="123"/>
      <c r="J31" s="123"/>
      <c r="K31" s="123"/>
      <c r="L31" s="123"/>
      <c r="M31" s="123"/>
      <c r="N31" s="123"/>
      <c r="O31" s="123"/>
      <c r="P31" s="123"/>
      <c r="Q31" s="123"/>
      <c r="R31" s="123"/>
      <c r="S31" s="123"/>
      <c r="T31" s="123"/>
      <c r="U31" s="123"/>
      <c r="V31" s="123"/>
      <c r="W31" s="123"/>
      <c r="X31" s="123"/>
      <c r="Y31" s="123"/>
    </row>
    <row r="32" spans="2:25" s="3" customFormat="1" ht="15" customHeight="1" x14ac:dyDescent="0.35">
      <c r="B32" s="824"/>
      <c r="C32" s="284" t="s">
        <v>400</v>
      </c>
      <c r="D32" s="279"/>
      <c r="F32" s="123"/>
      <c r="G32" s="123"/>
      <c r="H32" s="123"/>
      <c r="I32" s="123"/>
      <c r="J32" s="123"/>
      <c r="K32" s="123"/>
      <c r="L32" s="123"/>
      <c r="M32" s="123"/>
      <c r="N32" s="123"/>
      <c r="O32" s="123"/>
      <c r="P32" s="123"/>
      <c r="Q32" s="123"/>
      <c r="R32" s="123"/>
      <c r="S32" s="123"/>
      <c r="T32" s="123"/>
      <c r="U32" s="123"/>
      <c r="V32" s="123"/>
      <c r="W32" s="123"/>
      <c r="X32" s="123"/>
      <c r="Y32" s="123"/>
    </row>
    <row r="33" spans="2:25" s="3" customFormat="1" ht="15" customHeight="1" x14ac:dyDescent="0.35">
      <c r="B33" s="825" t="s">
        <v>489</v>
      </c>
      <c r="C33" s="285" t="s">
        <v>265</v>
      </c>
      <c r="D33" s="280"/>
      <c r="F33" s="123"/>
      <c r="G33" s="123"/>
      <c r="H33" s="123"/>
      <c r="I33" s="123"/>
      <c r="J33" s="123"/>
      <c r="K33" s="123"/>
      <c r="L33" s="123"/>
      <c r="M33" s="123"/>
      <c r="N33" s="123"/>
      <c r="O33" s="123"/>
      <c r="P33" s="123"/>
      <c r="Q33" s="123"/>
      <c r="R33" s="123"/>
      <c r="S33" s="123"/>
      <c r="T33" s="123"/>
      <c r="U33" s="123"/>
      <c r="V33" s="123"/>
      <c r="W33" s="123"/>
      <c r="X33" s="123"/>
      <c r="Y33" s="123"/>
    </row>
    <row r="34" spans="2:25" s="3" customFormat="1" ht="15" customHeight="1" x14ac:dyDescent="0.35">
      <c r="B34" s="823"/>
      <c r="C34" s="283" t="s">
        <v>490</v>
      </c>
      <c r="D34" s="278"/>
      <c r="F34" s="123"/>
      <c r="G34" s="123"/>
      <c r="H34" s="123"/>
      <c r="I34" s="123"/>
      <c r="J34" s="123"/>
      <c r="K34" s="123"/>
      <c r="L34" s="123"/>
      <c r="M34" s="123"/>
      <c r="N34" s="123"/>
      <c r="O34" s="123"/>
      <c r="P34" s="123"/>
      <c r="Q34" s="123"/>
      <c r="R34" s="123"/>
      <c r="S34" s="123"/>
      <c r="T34" s="123"/>
      <c r="U34" s="123"/>
      <c r="V34" s="123"/>
      <c r="W34" s="123"/>
      <c r="X34" s="123"/>
      <c r="Y34" s="123"/>
    </row>
    <row r="35" spans="2:25" s="3" customFormat="1" ht="15" customHeight="1" x14ac:dyDescent="0.35">
      <c r="B35" s="823"/>
      <c r="C35" s="283" t="s">
        <v>491</v>
      </c>
      <c r="D35" s="278"/>
      <c r="F35" s="123"/>
      <c r="G35" s="123"/>
      <c r="H35" s="123"/>
      <c r="I35" s="123"/>
      <c r="J35" s="123"/>
      <c r="K35" s="123"/>
      <c r="L35" s="123"/>
      <c r="M35" s="123"/>
      <c r="N35" s="123"/>
      <c r="O35" s="123"/>
      <c r="P35" s="123"/>
      <c r="Q35" s="123"/>
      <c r="R35" s="123"/>
      <c r="S35" s="123"/>
      <c r="T35" s="123"/>
      <c r="U35" s="123"/>
      <c r="V35" s="123"/>
      <c r="W35" s="123"/>
      <c r="X35" s="123"/>
      <c r="Y35" s="123"/>
    </row>
    <row r="36" spans="2:25" s="3" customFormat="1" ht="15" customHeight="1" x14ac:dyDescent="0.35">
      <c r="B36" s="823"/>
      <c r="C36" s="283" t="s">
        <v>492</v>
      </c>
      <c r="D36" s="278"/>
      <c r="F36" s="123"/>
      <c r="G36" s="123"/>
      <c r="H36" s="123"/>
      <c r="I36" s="123"/>
      <c r="J36" s="123"/>
      <c r="K36" s="123"/>
      <c r="L36" s="123"/>
      <c r="M36" s="123"/>
      <c r="N36" s="123"/>
      <c r="O36" s="123"/>
      <c r="P36" s="123"/>
      <c r="Q36" s="123"/>
      <c r="R36" s="123"/>
      <c r="S36" s="123"/>
      <c r="T36" s="123"/>
      <c r="U36" s="123"/>
      <c r="V36" s="123"/>
      <c r="W36" s="123"/>
      <c r="X36" s="123"/>
      <c r="Y36" s="123"/>
    </row>
    <row r="37" spans="2:25" s="3" customFormat="1" ht="15" customHeight="1" x14ac:dyDescent="0.35">
      <c r="B37" s="823"/>
      <c r="C37" s="283" t="s">
        <v>493</v>
      </c>
      <c r="D37" s="278"/>
      <c r="F37" s="123"/>
      <c r="G37" s="123"/>
      <c r="H37" s="123"/>
      <c r="I37" s="123"/>
      <c r="J37" s="123"/>
      <c r="K37" s="123"/>
      <c r="L37" s="123"/>
      <c r="M37" s="123"/>
      <c r="N37" s="123"/>
      <c r="O37" s="123"/>
      <c r="P37" s="123"/>
      <c r="Q37" s="123"/>
      <c r="R37" s="123"/>
      <c r="S37" s="123"/>
      <c r="T37" s="123"/>
      <c r="U37" s="123"/>
      <c r="V37" s="123"/>
      <c r="W37" s="123"/>
      <c r="X37" s="123"/>
      <c r="Y37" s="123"/>
    </row>
    <row r="38" spans="2:25" s="3" customFormat="1" ht="15" customHeight="1" x14ac:dyDescent="0.35">
      <c r="B38" s="823"/>
      <c r="C38" s="283" t="s">
        <v>494</v>
      </c>
      <c r="D38" s="278"/>
      <c r="F38" s="123"/>
      <c r="G38" s="123"/>
      <c r="H38" s="123"/>
      <c r="I38" s="123"/>
      <c r="J38" s="123"/>
      <c r="K38" s="123"/>
      <c r="L38" s="123"/>
      <c r="M38" s="123"/>
      <c r="N38" s="123"/>
      <c r="O38" s="123"/>
      <c r="P38" s="123"/>
      <c r="Q38" s="123"/>
      <c r="R38" s="123"/>
      <c r="S38" s="123"/>
      <c r="T38" s="123"/>
      <c r="U38" s="123"/>
      <c r="V38" s="123"/>
      <c r="W38" s="123"/>
      <c r="X38" s="123"/>
      <c r="Y38" s="123"/>
    </row>
    <row r="39" spans="2:25" s="3" customFormat="1" ht="15" customHeight="1" x14ac:dyDescent="0.35">
      <c r="B39" s="823"/>
      <c r="C39" s="283" t="s">
        <v>495</v>
      </c>
      <c r="D39" s="278"/>
      <c r="F39" s="123"/>
      <c r="G39" s="123"/>
      <c r="H39" s="123"/>
      <c r="I39" s="123"/>
      <c r="J39" s="123"/>
      <c r="K39" s="123"/>
      <c r="L39" s="123"/>
      <c r="M39" s="123"/>
      <c r="N39" s="123"/>
      <c r="O39" s="123"/>
      <c r="P39" s="123"/>
      <c r="Q39" s="123"/>
      <c r="R39" s="123"/>
      <c r="S39" s="123"/>
      <c r="T39" s="123"/>
      <c r="U39" s="123"/>
      <c r="V39" s="123"/>
      <c r="W39" s="123"/>
      <c r="X39" s="123"/>
      <c r="Y39" s="123"/>
    </row>
    <row r="40" spans="2:25" s="3" customFormat="1" ht="15" customHeight="1" x14ac:dyDescent="0.35">
      <c r="B40" s="823"/>
      <c r="C40" s="283" t="s">
        <v>496</v>
      </c>
      <c r="D40" s="278"/>
      <c r="F40" s="123"/>
      <c r="G40" s="123"/>
      <c r="H40" s="123"/>
      <c r="I40" s="123"/>
      <c r="J40" s="123"/>
      <c r="K40" s="123"/>
      <c r="L40" s="123"/>
      <c r="M40" s="123"/>
      <c r="N40" s="123"/>
      <c r="O40" s="123"/>
      <c r="P40" s="123"/>
      <c r="Q40" s="123"/>
      <c r="R40" s="123"/>
      <c r="S40" s="123"/>
      <c r="T40" s="123"/>
      <c r="U40" s="123"/>
      <c r="V40" s="123"/>
      <c r="W40" s="123"/>
      <c r="X40" s="123"/>
      <c r="Y40" s="123"/>
    </row>
    <row r="41" spans="2:25" s="3" customFormat="1" ht="15" customHeight="1" x14ac:dyDescent="0.35">
      <c r="B41" s="823"/>
      <c r="C41" s="283" t="s">
        <v>497</v>
      </c>
      <c r="D41" s="278"/>
      <c r="F41" s="123"/>
      <c r="G41" s="123"/>
      <c r="H41" s="123"/>
      <c r="I41" s="123"/>
      <c r="J41" s="123"/>
      <c r="K41" s="123"/>
      <c r="L41" s="123"/>
      <c r="M41" s="123"/>
      <c r="N41" s="123"/>
      <c r="O41" s="123"/>
      <c r="P41" s="123"/>
      <c r="Q41" s="123"/>
      <c r="R41" s="123"/>
      <c r="S41" s="123"/>
      <c r="T41" s="123"/>
      <c r="U41" s="123"/>
      <c r="V41" s="123"/>
      <c r="W41" s="123"/>
      <c r="X41" s="123"/>
      <c r="Y41" s="123"/>
    </row>
    <row r="42" spans="2:25" s="3" customFormat="1" ht="15" customHeight="1" x14ac:dyDescent="0.35">
      <c r="B42" s="824"/>
      <c r="C42" s="284" t="s">
        <v>498</v>
      </c>
      <c r="D42" s="279"/>
      <c r="F42" s="123"/>
      <c r="G42" s="123"/>
      <c r="H42" s="123"/>
      <c r="I42" s="123"/>
      <c r="J42" s="123"/>
      <c r="K42" s="123"/>
      <c r="L42" s="123"/>
      <c r="M42" s="123"/>
      <c r="N42" s="123"/>
      <c r="O42" s="123"/>
      <c r="P42" s="123"/>
      <c r="Q42" s="123"/>
      <c r="R42" s="123"/>
      <c r="S42" s="123"/>
      <c r="T42" s="123"/>
      <c r="U42" s="123"/>
      <c r="V42" s="123"/>
      <c r="W42" s="123"/>
      <c r="X42" s="123"/>
      <c r="Y42" s="123"/>
    </row>
    <row r="43" spans="2:25" s="3" customFormat="1" ht="15" customHeight="1" x14ac:dyDescent="0.35">
      <c r="B43" s="825" t="s">
        <v>499</v>
      </c>
      <c r="C43" s="285" t="s">
        <v>379</v>
      </c>
      <c r="D43" s="280"/>
      <c r="F43" s="123"/>
      <c r="G43" s="123"/>
      <c r="H43" s="123"/>
      <c r="I43" s="123"/>
      <c r="J43" s="123"/>
      <c r="K43" s="123"/>
      <c r="L43" s="123"/>
      <c r="M43" s="123"/>
      <c r="N43" s="123"/>
      <c r="O43" s="123"/>
      <c r="P43" s="123"/>
      <c r="Q43" s="123"/>
      <c r="R43" s="123"/>
      <c r="S43" s="123"/>
      <c r="T43" s="123"/>
      <c r="U43" s="123"/>
      <c r="V43" s="123"/>
      <c r="W43" s="123"/>
      <c r="X43" s="123"/>
      <c r="Y43" s="123"/>
    </row>
    <row r="44" spans="2:25" s="3" customFormat="1" ht="15" customHeight="1" thickBot="1" x14ac:dyDescent="0.4">
      <c r="B44" s="826"/>
      <c r="C44" s="286" t="s">
        <v>500</v>
      </c>
      <c r="D44" s="281"/>
      <c r="F44" s="123"/>
      <c r="G44" s="123"/>
      <c r="H44" s="123"/>
      <c r="I44" s="123"/>
      <c r="J44" s="123"/>
      <c r="K44" s="123"/>
      <c r="L44" s="123"/>
      <c r="M44" s="123"/>
      <c r="N44" s="123"/>
      <c r="O44" s="123"/>
      <c r="P44" s="123"/>
      <c r="Q44" s="123"/>
      <c r="R44" s="123"/>
      <c r="S44" s="123"/>
      <c r="T44" s="123"/>
      <c r="U44" s="123"/>
      <c r="V44" s="123"/>
      <c r="W44" s="123"/>
      <c r="X44" s="123"/>
      <c r="Y44" s="123"/>
    </row>
    <row r="45" spans="2:25" s="3" customFormat="1" ht="15" customHeight="1" x14ac:dyDescent="0.3">
      <c r="F45" s="123"/>
      <c r="G45" s="123"/>
      <c r="H45" s="123"/>
      <c r="I45" s="123"/>
      <c r="J45" s="123"/>
      <c r="K45" s="123"/>
      <c r="L45" s="123"/>
      <c r="M45" s="123"/>
      <c r="N45" s="123"/>
      <c r="O45" s="123"/>
      <c r="P45" s="123"/>
      <c r="Q45" s="123"/>
      <c r="R45" s="123"/>
      <c r="S45" s="123"/>
      <c r="T45" s="123"/>
      <c r="U45" s="123"/>
      <c r="V45" s="123"/>
      <c r="W45" s="123"/>
      <c r="X45" s="123"/>
      <c r="Y45" s="123"/>
    </row>
    <row r="46" spans="2:25" s="3" customFormat="1" ht="15" customHeight="1" x14ac:dyDescent="0.35">
      <c r="C46" s="487"/>
      <c r="D46" s="488"/>
      <c r="F46" s="123"/>
      <c r="G46" s="123"/>
      <c r="H46" s="123"/>
      <c r="I46" s="123"/>
      <c r="J46" s="123"/>
      <c r="K46" s="123"/>
      <c r="L46" s="123"/>
      <c r="M46" s="123"/>
      <c r="N46" s="123"/>
      <c r="O46" s="123"/>
      <c r="P46" s="123"/>
      <c r="Q46" s="123"/>
      <c r="R46" s="123"/>
      <c r="S46" s="123"/>
      <c r="T46" s="123"/>
      <c r="U46" s="123"/>
      <c r="V46" s="123"/>
      <c r="W46" s="123"/>
      <c r="X46" s="123"/>
      <c r="Y46" s="123"/>
    </row>
    <row r="47" spans="2:25" s="3" customFormat="1" ht="15" customHeight="1" x14ac:dyDescent="0.3">
      <c r="F47" s="123"/>
      <c r="G47" s="123"/>
      <c r="H47" s="123"/>
      <c r="I47" s="123"/>
      <c r="J47" s="123"/>
      <c r="K47" s="123"/>
      <c r="L47" s="123"/>
      <c r="M47" s="123"/>
      <c r="N47" s="123"/>
      <c r="O47" s="123"/>
      <c r="P47" s="123"/>
      <c r="Q47" s="123"/>
      <c r="R47" s="123"/>
      <c r="S47" s="123"/>
      <c r="T47" s="123"/>
      <c r="U47" s="123"/>
      <c r="V47" s="123"/>
      <c r="W47" s="123"/>
      <c r="X47" s="123"/>
      <c r="Y47" s="123"/>
    </row>
    <row r="48" spans="2:25" s="3" customFormat="1" ht="15" customHeight="1" x14ac:dyDescent="0.3">
      <c r="F48" s="123"/>
      <c r="G48" s="123"/>
      <c r="H48" s="123"/>
      <c r="I48" s="123"/>
      <c r="J48" s="123"/>
      <c r="K48" s="123"/>
      <c r="L48" s="123"/>
      <c r="M48" s="123"/>
      <c r="N48" s="123"/>
      <c r="O48" s="123"/>
      <c r="P48" s="123"/>
      <c r="Q48" s="123"/>
      <c r="R48" s="123"/>
      <c r="S48" s="123"/>
      <c r="T48" s="123"/>
      <c r="U48" s="123"/>
      <c r="V48" s="123"/>
      <c r="W48" s="123"/>
      <c r="X48" s="123"/>
      <c r="Y48" s="123"/>
    </row>
    <row r="49" spans="2:25" s="3" customFormat="1" ht="15" customHeight="1" x14ac:dyDescent="0.3">
      <c r="F49" s="123"/>
      <c r="G49" s="123"/>
      <c r="H49" s="123"/>
      <c r="I49" s="123"/>
      <c r="J49" s="123"/>
      <c r="K49" s="123"/>
      <c r="L49" s="123"/>
      <c r="M49" s="123"/>
      <c r="N49" s="123"/>
      <c r="O49" s="123"/>
      <c r="P49" s="123"/>
      <c r="Q49" s="123"/>
      <c r="R49" s="123"/>
      <c r="S49" s="123"/>
      <c r="T49" s="123"/>
      <c r="U49" s="123"/>
      <c r="V49" s="123"/>
      <c r="W49" s="123"/>
      <c r="X49" s="123"/>
      <c r="Y49" s="123"/>
    </row>
    <row r="50" spans="2:25" s="3" customFormat="1" ht="15" customHeight="1" x14ac:dyDescent="0.45">
      <c r="B50" s="484"/>
      <c r="C50" s="484"/>
      <c r="D50" s="484"/>
      <c r="F50" s="123"/>
      <c r="G50" s="123"/>
      <c r="H50" s="123"/>
      <c r="I50" s="123"/>
      <c r="J50" s="123"/>
      <c r="K50" s="123"/>
      <c r="L50" s="123"/>
      <c r="M50" s="123"/>
      <c r="N50" s="123"/>
      <c r="O50" s="123"/>
      <c r="P50" s="123"/>
      <c r="Q50" s="123"/>
      <c r="R50" s="123"/>
      <c r="S50" s="123"/>
      <c r="T50" s="123"/>
      <c r="U50" s="123"/>
      <c r="V50" s="123"/>
      <c r="W50" s="123"/>
      <c r="X50" s="123"/>
      <c r="Y50" s="123"/>
    </row>
    <row r="51" spans="2:25" s="3" customFormat="1" ht="15" customHeight="1" x14ac:dyDescent="0.45">
      <c r="B51" s="484"/>
      <c r="C51" s="484"/>
      <c r="D51" s="484"/>
      <c r="F51" s="123"/>
      <c r="G51" s="123"/>
      <c r="H51" s="123"/>
      <c r="I51" s="123"/>
      <c r="J51" s="123"/>
      <c r="K51" s="123"/>
      <c r="L51" s="123"/>
      <c r="M51" s="123"/>
      <c r="N51" s="123"/>
      <c r="O51" s="123"/>
      <c r="P51" s="123"/>
      <c r="Q51" s="123"/>
      <c r="R51" s="123"/>
      <c r="S51" s="123"/>
      <c r="T51" s="123"/>
      <c r="U51" s="123"/>
      <c r="V51" s="123"/>
      <c r="W51" s="123"/>
      <c r="X51" s="123"/>
      <c r="Y51" s="123"/>
    </row>
    <row r="52" spans="2:25" s="3" customFormat="1" ht="15" customHeight="1" x14ac:dyDescent="0.45">
      <c r="B52" s="484"/>
      <c r="C52" s="484"/>
      <c r="D52" s="484"/>
      <c r="F52" s="123"/>
      <c r="G52" s="123"/>
      <c r="H52" s="123"/>
      <c r="I52" s="123"/>
      <c r="J52" s="123"/>
      <c r="K52" s="123"/>
      <c r="L52" s="123"/>
      <c r="M52" s="123"/>
      <c r="N52" s="123"/>
      <c r="O52" s="123"/>
      <c r="P52" s="123"/>
      <c r="Q52" s="123"/>
      <c r="R52" s="123"/>
      <c r="S52" s="123"/>
      <c r="T52" s="123"/>
      <c r="U52" s="123"/>
      <c r="V52" s="123"/>
      <c r="W52" s="123"/>
      <c r="X52" s="123"/>
      <c r="Y52" s="123"/>
    </row>
    <row r="53" spans="2:25" s="3" customFormat="1" ht="15" customHeight="1" x14ac:dyDescent="0.45">
      <c r="B53" s="484"/>
      <c r="C53" s="484"/>
      <c r="D53" s="484"/>
      <c r="F53" s="123"/>
      <c r="G53" s="123"/>
      <c r="H53" s="123"/>
      <c r="I53" s="123"/>
      <c r="J53" s="123"/>
      <c r="K53" s="123"/>
      <c r="L53" s="123"/>
      <c r="M53" s="123"/>
      <c r="N53" s="123"/>
      <c r="O53" s="123"/>
      <c r="P53" s="123"/>
      <c r="Q53" s="123"/>
      <c r="R53" s="123"/>
      <c r="S53" s="123"/>
      <c r="T53" s="123"/>
      <c r="U53" s="123"/>
      <c r="V53" s="123"/>
      <c r="W53" s="123"/>
      <c r="X53" s="123"/>
      <c r="Y53" s="123"/>
    </row>
    <row r="54" spans="2:25" s="3" customFormat="1" ht="15" customHeight="1" x14ac:dyDescent="0.45">
      <c r="B54" s="484"/>
      <c r="C54" s="484"/>
      <c r="D54" s="484"/>
      <c r="F54" s="123"/>
      <c r="G54" s="123"/>
      <c r="H54" s="123"/>
      <c r="I54" s="123"/>
      <c r="J54" s="123"/>
      <c r="K54" s="123"/>
      <c r="L54" s="123"/>
      <c r="M54" s="123"/>
      <c r="N54" s="123"/>
      <c r="O54" s="123"/>
      <c r="P54" s="123"/>
      <c r="Q54" s="123"/>
      <c r="R54" s="123"/>
      <c r="S54" s="123"/>
      <c r="T54" s="123"/>
      <c r="U54" s="123"/>
      <c r="V54" s="123"/>
      <c r="W54" s="123"/>
      <c r="X54" s="123"/>
      <c r="Y54" s="123"/>
    </row>
    <row r="55" spans="2:25" s="3" customFormat="1" ht="15" customHeight="1" x14ac:dyDescent="0.45">
      <c r="B55" s="484"/>
      <c r="C55" s="484"/>
      <c r="D55" s="484"/>
      <c r="F55" s="123"/>
      <c r="G55" s="123"/>
      <c r="H55" s="123"/>
      <c r="I55" s="123"/>
      <c r="J55" s="123"/>
      <c r="K55" s="123"/>
      <c r="L55" s="123"/>
      <c r="M55" s="123"/>
      <c r="N55" s="123"/>
      <c r="O55" s="123"/>
      <c r="P55" s="123"/>
      <c r="Q55" s="123"/>
      <c r="R55" s="123"/>
      <c r="S55" s="123"/>
      <c r="T55" s="123"/>
      <c r="U55" s="123"/>
      <c r="V55" s="123"/>
      <c r="W55" s="123"/>
      <c r="X55" s="123"/>
      <c r="Y55" s="123"/>
    </row>
    <row r="56" spans="2:25" s="3" customFormat="1" ht="15" customHeight="1" x14ac:dyDescent="0.45">
      <c r="B56" s="484"/>
      <c r="C56" s="484"/>
      <c r="D56" s="484"/>
      <c r="F56" s="123"/>
      <c r="G56" s="123"/>
      <c r="H56" s="123"/>
      <c r="I56" s="123"/>
      <c r="J56" s="123"/>
      <c r="K56" s="123"/>
      <c r="L56" s="123"/>
      <c r="M56" s="123"/>
      <c r="N56" s="123"/>
      <c r="O56" s="123"/>
      <c r="P56" s="123"/>
      <c r="Q56" s="123"/>
      <c r="R56" s="123"/>
      <c r="S56" s="123"/>
      <c r="T56" s="123"/>
      <c r="U56" s="123"/>
      <c r="V56" s="123"/>
      <c r="W56" s="123"/>
      <c r="X56" s="123"/>
      <c r="Y56" s="123"/>
    </row>
    <row r="57" spans="2:25" s="3" customFormat="1" ht="15" customHeight="1" x14ac:dyDescent="0.45">
      <c r="B57" s="484"/>
      <c r="C57" s="484"/>
      <c r="D57" s="484"/>
      <c r="F57" s="123"/>
      <c r="G57" s="123"/>
      <c r="H57" s="123"/>
      <c r="I57" s="123"/>
      <c r="J57" s="123"/>
      <c r="K57" s="123"/>
      <c r="L57" s="123"/>
      <c r="M57" s="123"/>
      <c r="N57" s="123"/>
      <c r="O57" s="123"/>
      <c r="P57" s="123"/>
      <c r="Q57" s="123"/>
      <c r="R57" s="123"/>
      <c r="S57" s="123"/>
      <c r="T57" s="123"/>
      <c r="U57" s="123"/>
      <c r="V57" s="123"/>
      <c r="W57" s="123"/>
      <c r="X57" s="123"/>
      <c r="Y57" s="123"/>
    </row>
    <row r="58" spans="2:25" s="3" customFormat="1" ht="15" customHeight="1" x14ac:dyDescent="0.45">
      <c r="B58" s="484"/>
      <c r="C58" s="484"/>
      <c r="D58" s="484"/>
      <c r="F58" s="123"/>
      <c r="G58" s="123"/>
      <c r="H58" s="123"/>
      <c r="I58" s="123"/>
      <c r="J58" s="123"/>
      <c r="K58" s="123"/>
      <c r="L58" s="123"/>
      <c r="M58" s="123"/>
      <c r="N58" s="123"/>
      <c r="O58" s="123"/>
      <c r="P58" s="123"/>
      <c r="Q58" s="123"/>
      <c r="R58" s="123"/>
      <c r="S58" s="123"/>
      <c r="T58" s="123"/>
      <c r="U58" s="123"/>
      <c r="V58" s="123"/>
      <c r="W58" s="123"/>
      <c r="X58" s="123"/>
      <c r="Y58" s="123"/>
    </row>
    <row r="59" spans="2:25" s="3" customFormat="1" ht="15" customHeight="1" x14ac:dyDescent="0.45">
      <c r="B59" s="484"/>
      <c r="C59" s="484"/>
      <c r="D59" s="484"/>
      <c r="F59" s="123"/>
      <c r="G59" s="123"/>
      <c r="H59" s="123"/>
      <c r="I59" s="123"/>
      <c r="J59" s="123"/>
      <c r="K59" s="123"/>
      <c r="L59" s="123"/>
      <c r="M59" s="123"/>
      <c r="N59" s="123"/>
      <c r="O59" s="123"/>
      <c r="P59" s="123"/>
      <c r="Q59" s="123"/>
      <c r="R59" s="123"/>
      <c r="S59" s="123"/>
      <c r="T59" s="123"/>
      <c r="U59" s="123"/>
      <c r="V59" s="123"/>
      <c r="W59" s="123"/>
      <c r="X59" s="123"/>
      <c r="Y59" s="123"/>
    </row>
    <row r="60" spans="2:25" s="3" customFormat="1" ht="15" customHeight="1" x14ac:dyDescent="0.45">
      <c r="B60" s="484"/>
      <c r="C60" s="484"/>
      <c r="D60" s="484"/>
      <c r="F60" s="123"/>
      <c r="G60" s="123"/>
      <c r="H60" s="123"/>
      <c r="I60" s="123"/>
      <c r="J60" s="123"/>
      <c r="K60" s="123"/>
      <c r="L60" s="123"/>
      <c r="M60" s="123"/>
      <c r="N60" s="123"/>
      <c r="O60" s="123"/>
      <c r="P60" s="123"/>
      <c r="Q60" s="123"/>
      <c r="R60" s="123"/>
      <c r="S60" s="123"/>
      <c r="T60" s="123"/>
      <c r="U60" s="123"/>
      <c r="V60" s="123"/>
      <c r="W60" s="123"/>
      <c r="X60" s="123"/>
      <c r="Y60" s="123"/>
    </row>
    <row r="61" spans="2:25" s="3" customFormat="1" ht="15" customHeight="1" x14ac:dyDescent="0.45">
      <c r="B61" s="484"/>
      <c r="C61" s="484"/>
      <c r="D61" s="484"/>
      <c r="F61" s="123"/>
      <c r="G61" s="123"/>
      <c r="H61" s="123"/>
      <c r="I61" s="123"/>
      <c r="J61" s="123"/>
      <c r="K61" s="123"/>
      <c r="L61" s="123"/>
      <c r="M61" s="123"/>
      <c r="N61" s="123"/>
      <c r="O61" s="123"/>
      <c r="P61" s="123"/>
      <c r="Q61" s="123"/>
      <c r="R61" s="123"/>
      <c r="S61" s="123"/>
      <c r="T61" s="123"/>
      <c r="U61" s="123"/>
      <c r="V61" s="123"/>
      <c r="W61" s="123"/>
      <c r="X61" s="123"/>
      <c r="Y61" s="123"/>
    </row>
    <row r="62" spans="2:25" s="3" customFormat="1" ht="15" customHeight="1" x14ac:dyDescent="0.45">
      <c r="B62" s="484"/>
      <c r="C62" s="484"/>
      <c r="D62" s="484"/>
      <c r="F62" s="123"/>
      <c r="G62" s="123"/>
      <c r="H62" s="123"/>
      <c r="I62" s="123"/>
      <c r="J62" s="123"/>
      <c r="K62" s="123"/>
      <c r="L62" s="123"/>
      <c r="M62" s="123"/>
      <c r="N62" s="123"/>
      <c r="O62" s="123"/>
      <c r="P62" s="123"/>
      <c r="Q62" s="123"/>
      <c r="R62" s="123"/>
      <c r="S62" s="123"/>
      <c r="T62" s="123"/>
      <c r="U62" s="123"/>
      <c r="V62" s="123"/>
      <c r="W62" s="123"/>
      <c r="X62" s="123"/>
      <c r="Y62" s="123"/>
    </row>
    <row r="63" spans="2:25" s="3" customFormat="1" ht="15" customHeight="1" x14ac:dyDescent="0.45">
      <c r="B63" s="484"/>
      <c r="C63" s="484"/>
      <c r="D63" s="484"/>
      <c r="F63" s="123"/>
      <c r="G63" s="123"/>
      <c r="H63" s="123"/>
      <c r="I63" s="123"/>
      <c r="J63" s="123"/>
      <c r="K63" s="123"/>
      <c r="L63" s="123"/>
      <c r="M63" s="123"/>
      <c r="N63" s="123"/>
      <c r="O63" s="123"/>
      <c r="P63" s="123"/>
      <c r="Q63" s="123"/>
      <c r="R63" s="123"/>
      <c r="S63" s="123"/>
      <c r="T63" s="123"/>
      <c r="U63" s="123"/>
      <c r="V63" s="123"/>
      <c r="W63" s="123"/>
      <c r="X63" s="123"/>
      <c r="Y63" s="123"/>
    </row>
    <row r="64" spans="2:25" s="3" customFormat="1" ht="15" customHeight="1" x14ac:dyDescent="0.45">
      <c r="B64" s="484"/>
      <c r="C64" s="484"/>
      <c r="D64" s="484"/>
      <c r="F64" s="123"/>
      <c r="G64" s="123"/>
      <c r="H64" s="123"/>
      <c r="I64" s="123"/>
      <c r="J64" s="123"/>
      <c r="K64" s="123"/>
      <c r="L64" s="123"/>
      <c r="M64" s="123"/>
      <c r="N64" s="123"/>
      <c r="O64" s="123"/>
      <c r="P64" s="123"/>
      <c r="Q64" s="123"/>
      <c r="R64" s="123"/>
      <c r="S64" s="123"/>
      <c r="T64" s="123"/>
      <c r="U64" s="123"/>
      <c r="V64" s="123"/>
      <c r="W64" s="123"/>
      <c r="X64" s="123"/>
      <c r="Y64" s="123"/>
    </row>
    <row r="65" spans="2:25" s="3" customFormat="1" ht="15" customHeight="1" x14ac:dyDescent="0.45">
      <c r="B65" s="484"/>
      <c r="C65" s="484"/>
      <c r="D65" s="484"/>
      <c r="F65" s="123"/>
      <c r="G65" s="123"/>
      <c r="H65" s="123"/>
      <c r="I65" s="123"/>
      <c r="J65" s="123"/>
      <c r="K65" s="123"/>
      <c r="L65" s="123"/>
      <c r="M65" s="123"/>
      <c r="N65" s="123"/>
      <c r="O65" s="123"/>
      <c r="P65" s="123"/>
      <c r="Q65" s="123"/>
      <c r="R65" s="123"/>
      <c r="S65" s="123"/>
      <c r="T65" s="123"/>
      <c r="U65" s="123"/>
      <c r="V65" s="123"/>
      <c r="W65" s="123"/>
      <c r="X65" s="123"/>
      <c r="Y65" s="123"/>
    </row>
    <row r="66" spans="2:25" s="3" customFormat="1" ht="15" customHeight="1" x14ac:dyDescent="0.45">
      <c r="B66" s="484"/>
      <c r="C66" s="484"/>
      <c r="D66" s="484"/>
      <c r="F66" s="123"/>
      <c r="G66" s="123"/>
      <c r="H66" s="123"/>
      <c r="I66" s="123"/>
      <c r="J66" s="123"/>
      <c r="K66" s="123"/>
      <c r="L66" s="123"/>
      <c r="M66" s="123"/>
      <c r="N66" s="123"/>
      <c r="O66" s="123"/>
      <c r="P66" s="123"/>
      <c r="Q66" s="123"/>
      <c r="R66" s="123"/>
      <c r="S66" s="123"/>
      <c r="T66" s="123"/>
      <c r="U66" s="123"/>
      <c r="V66" s="123"/>
      <c r="W66" s="123"/>
      <c r="X66" s="123"/>
      <c r="Y66" s="123"/>
    </row>
    <row r="67" spans="2:25" s="3" customFormat="1" ht="15" customHeight="1" x14ac:dyDescent="0.45">
      <c r="B67" s="484"/>
      <c r="C67" s="484"/>
      <c r="D67" s="484"/>
      <c r="F67" s="123"/>
      <c r="G67" s="123"/>
      <c r="H67" s="123"/>
      <c r="I67" s="123"/>
      <c r="J67" s="123"/>
      <c r="K67" s="123"/>
      <c r="L67" s="123"/>
      <c r="M67" s="123"/>
      <c r="N67" s="123"/>
      <c r="O67" s="123"/>
      <c r="P67" s="123"/>
      <c r="Q67" s="123"/>
      <c r="R67" s="123"/>
      <c r="S67" s="123"/>
      <c r="T67" s="123"/>
      <c r="U67" s="123"/>
      <c r="V67" s="123"/>
      <c r="W67" s="123"/>
      <c r="X67" s="123"/>
      <c r="Y67" s="123"/>
    </row>
    <row r="68" spans="2:25" s="3" customFormat="1" ht="15" customHeight="1" x14ac:dyDescent="0.45">
      <c r="B68" s="484"/>
      <c r="C68" s="484"/>
      <c r="D68" s="484"/>
      <c r="F68" s="123"/>
      <c r="G68" s="123"/>
      <c r="H68" s="123"/>
      <c r="I68" s="123"/>
      <c r="J68" s="123"/>
      <c r="K68" s="123"/>
      <c r="L68" s="123"/>
      <c r="M68" s="123"/>
      <c r="N68" s="123"/>
      <c r="O68" s="123"/>
      <c r="P68" s="123"/>
      <c r="Q68" s="123"/>
      <c r="R68" s="123"/>
      <c r="S68" s="123"/>
      <c r="T68" s="123"/>
      <c r="U68" s="123"/>
      <c r="V68" s="123"/>
      <c r="W68" s="123"/>
      <c r="X68" s="123"/>
      <c r="Y68" s="123"/>
    </row>
    <row r="69" spans="2:25" s="3" customFormat="1" ht="15" customHeight="1" x14ac:dyDescent="0.45">
      <c r="B69" s="484"/>
      <c r="C69" s="484"/>
      <c r="D69" s="484"/>
      <c r="F69" s="123"/>
      <c r="G69" s="123"/>
      <c r="H69" s="123"/>
      <c r="I69" s="123"/>
      <c r="J69" s="123"/>
      <c r="K69" s="123"/>
      <c r="L69" s="123"/>
      <c r="M69" s="123"/>
      <c r="N69" s="123"/>
      <c r="O69" s="123"/>
      <c r="P69" s="123"/>
      <c r="Q69" s="123"/>
      <c r="R69" s="123"/>
      <c r="S69" s="123"/>
      <c r="T69" s="123"/>
      <c r="U69" s="123"/>
      <c r="V69" s="123"/>
      <c r="W69" s="123"/>
      <c r="X69" s="123"/>
      <c r="Y69" s="123"/>
    </row>
    <row r="70" spans="2:25" s="3" customFormat="1" ht="15" customHeight="1" x14ac:dyDescent="0.45">
      <c r="B70" s="484"/>
      <c r="C70" s="484"/>
      <c r="D70" s="484"/>
      <c r="F70" s="123"/>
      <c r="G70" s="123"/>
      <c r="H70" s="123"/>
      <c r="I70" s="123"/>
      <c r="J70" s="123"/>
      <c r="K70" s="123"/>
      <c r="L70" s="123"/>
      <c r="M70" s="123"/>
      <c r="N70" s="123"/>
      <c r="O70" s="123"/>
      <c r="P70" s="123"/>
      <c r="Q70" s="123"/>
      <c r="R70" s="123"/>
      <c r="S70" s="123"/>
      <c r="T70" s="123"/>
      <c r="U70" s="123"/>
      <c r="V70" s="123"/>
      <c r="W70" s="123"/>
      <c r="X70" s="123"/>
      <c r="Y70" s="123"/>
    </row>
    <row r="71" spans="2:25" s="3" customFormat="1" ht="15" customHeight="1" x14ac:dyDescent="0.45">
      <c r="B71" s="484"/>
      <c r="C71" s="484"/>
      <c r="D71" s="484"/>
      <c r="F71" s="123"/>
      <c r="G71" s="123"/>
      <c r="H71" s="123"/>
      <c r="I71" s="123"/>
      <c r="J71" s="123"/>
      <c r="K71" s="123"/>
      <c r="L71" s="123"/>
      <c r="M71" s="123"/>
      <c r="N71" s="123"/>
      <c r="O71" s="123"/>
      <c r="P71" s="123"/>
      <c r="Q71" s="123"/>
      <c r="R71" s="123"/>
      <c r="S71" s="123"/>
      <c r="T71" s="123"/>
      <c r="U71" s="123"/>
      <c r="V71" s="123"/>
      <c r="W71" s="123"/>
      <c r="X71" s="123"/>
      <c r="Y71" s="123"/>
    </row>
    <row r="72" spans="2:25" s="3" customFormat="1" ht="15" customHeight="1" x14ac:dyDescent="0.45">
      <c r="B72" s="484"/>
      <c r="C72" s="484"/>
      <c r="D72" s="484"/>
      <c r="F72" s="123"/>
      <c r="G72" s="123"/>
      <c r="H72" s="123"/>
      <c r="I72" s="123"/>
      <c r="J72" s="123"/>
      <c r="K72" s="123"/>
      <c r="L72" s="123"/>
      <c r="M72" s="123"/>
      <c r="N72" s="123"/>
      <c r="O72" s="123"/>
      <c r="P72" s="123"/>
      <c r="Q72" s="123"/>
      <c r="R72" s="123"/>
      <c r="S72" s="123"/>
      <c r="T72" s="123"/>
      <c r="U72" s="123"/>
      <c r="V72" s="123"/>
      <c r="W72" s="123"/>
      <c r="X72" s="123"/>
      <c r="Y72" s="123"/>
    </row>
    <row r="73" spans="2:25" s="3" customFormat="1" ht="15" customHeight="1" x14ac:dyDescent="0.45">
      <c r="B73" s="484"/>
      <c r="C73" s="484"/>
      <c r="D73" s="484"/>
      <c r="F73" s="123"/>
      <c r="G73" s="123"/>
      <c r="H73" s="123"/>
      <c r="I73" s="123"/>
      <c r="J73" s="123"/>
      <c r="K73" s="123"/>
      <c r="L73" s="123"/>
      <c r="M73" s="123"/>
      <c r="N73" s="123"/>
      <c r="O73" s="123"/>
      <c r="P73" s="123"/>
      <c r="Q73" s="123"/>
      <c r="R73" s="123"/>
      <c r="S73" s="123"/>
      <c r="T73" s="123"/>
      <c r="U73" s="123"/>
      <c r="V73" s="123"/>
      <c r="W73" s="123"/>
      <c r="X73" s="123"/>
      <c r="Y73" s="123"/>
    </row>
    <row r="74" spans="2:25" s="3" customFormat="1" ht="15" customHeight="1" x14ac:dyDescent="0.45">
      <c r="B74" s="484"/>
      <c r="C74" s="484"/>
      <c r="D74" s="484"/>
      <c r="F74" s="123"/>
      <c r="G74" s="123"/>
      <c r="H74" s="123"/>
      <c r="I74" s="123"/>
      <c r="J74" s="123"/>
      <c r="K74" s="123"/>
      <c r="L74" s="123"/>
      <c r="M74" s="123"/>
      <c r="N74" s="123"/>
      <c r="O74" s="123"/>
      <c r="P74" s="123"/>
      <c r="Q74" s="123"/>
      <c r="R74" s="123"/>
      <c r="S74" s="123"/>
      <c r="T74" s="123"/>
      <c r="U74" s="123"/>
      <c r="V74" s="123"/>
      <c r="W74" s="123"/>
      <c r="X74" s="123"/>
      <c r="Y74" s="123"/>
    </row>
    <row r="75" spans="2:25" s="3" customFormat="1" ht="15" customHeight="1" x14ac:dyDescent="0.45">
      <c r="B75" s="484"/>
      <c r="C75" s="484"/>
      <c r="D75" s="484"/>
      <c r="F75" s="123"/>
      <c r="G75" s="123"/>
      <c r="H75" s="123"/>
      <c r="I75" s="123"/>
      <c r="J75" s="123"/>
      <c r="K75" s="123"/>
      <c r="L75" s="123"/>
      <c r="M75" s="123"/>
      <c r="N75" s="123"/>
      <c r="O75" s="123"/>
      <c r="P75" s="123"/>
      <c r="Q75" s="123"/>
      <c r="R75" s="123"/>
      <c r="S75" s="123"/>
      <c r="T75" s="123"/>
      <c r="U75" s="123"/>
      <c r="V75" s="123"/>
      <c r="W75" s="123"/>
      <c r="X75" s="123"/>
      <c r="Y75" s="123"/>
    </row>
    <row r="76" spans="2:25" s="3" customFormat="1" ht="15" customHeight="1" x14ac:dyDescent="0.45">
      <c r="B76" s="484"/>
      <c r="C76" s="484"/>
      <c r="D76" s="484"/>
      <c r="F76" s="123"/>
      <c r="G76" s="123"/>
      <c r="H76" s="123"/>
      <c r="I76" s="123"/>
      <c r="J76" s="123"/>
      <c r="K76" s="123"/>
      <c r="L76" s="123"/>
      <c r="M76" s="123"/>
      <c r="N76" s="123"/>
      <c r="O76" s="123"/>
      <c r="P76" s="123"/>
      <c r="Q76" s="123"/>
      <c r="R76" s="123"/>
      <c r="S76" s="123"/>
      <c r="T76" s="123"/>
      <c r="U76" s="123"/>
      <c r="V76" s="123"/>
      <c r="W76" s="123"/>
      <c r="X76" s="123"/>
      <c r="Y76" s="123"/>
    </row>
    <row r="77" spans="2:25" s="3" customFormat="1" ht="15" customHeight="1" x14ac:dyDescent="0.45">
      <c r="B77" s="484"/>
      <c r="C77" s="484"/>
      <c r="D77" s="484"/>
      <c r="F77" s="123"/>
      <c r="G77" s="123"/>
      <c r="H77" s="123"/>
      <c r="I77" s="123"/>
      <c r="J77" s="123"/>
      <c r="K77" s="123"/>
      <c r="L77" s="123"/>
      <c r="M77" s="123"/>
      <c r="N77" s="123"/>
      <c r="O77" s="123"/>
      <c r="P77" s="123"/>
      <c r="Q77" s="123"/>
      <c r="R77" s="123"/>
      <c r="S77" s="123"/>
      <c r="T77" s="123"/>
      <c r="U77" s="123"/>
      <c r="V77" s="123"/>
      <c r="W77" s="123"/>
      <c r="X77" s="123"/>
      <c r="Y77" s="123"/>
    </row>
    <row r="78" spans="2:25" s="3" customFormat="1" ht="15" customHeight="1" x14ac:dyDescent="0.45">
      <c r="B78" s="484"/>
      <c r="C78" s="484"/>
      <c r="D78" s="484"/>
      <c r="F78" s="123"/>
      <c r="G78" s="123"/>
      <c r="H78" s="123"/>
      <c r="I78" s="123"/>
      <c r="J78" s="123"/>
      <c r="K78" s="123"/>
      <c r="L78" s="123"/>
      <c r="M78" s="123"/>
      <c r="N78" s="123"/>
      <c r="O78" s="123"/>
      <c r="P78" s="123"/>
      <c r="Q78" s="123"/>
      <c r="R78" s="123"/>
      <c r="S78" s="123"/>
      <c r="T78" s="123"/>
      <c r="U78" s="123"/>
      <c r="V78" s="123"/>
      <c r="W78" s="123"/>
      <c r="X78" s="123"/>
      <c r="Y78" s="123"/>
    </row>
    <row r="79" spans="2:25" s="3" customFormat="1" ht="15" customHeight="1" x14ac:dyDescent="0.45">
      <c r="B79" s="484"/>
      <c r="C79" s="484"/>
      <c r="D79" s="484"/>
      <c r="F79" s="123"/>
      <c r="G79" s="123"/>
      <c r="H79" s="123"/>
      <c r="I79" s="123"/>
      <c r="J79" s="123"/>
      <c r="K79" s="123"/>
      <c r="L79" s="123"/>
      <c r="M79" s="123"/>
      <c r="N79" s="123"/>
      <c r="O79" s="123"/>
      <c r="P79" s="123"/>
      <c r="Q79" s="123"/>
      <c r="R79" s="123"/>
      <c r="S79" s="123"/>
      <c r="T79" s="123"/>
      <c r="U79" s="123"/>
      <c r="V79" s="123"/>
      <c r="W79" s="123"/>
      <c r="X79" s="123"/>
      <c r="Y79" s="123"/>
    </row>
    <row r="80" spans="2:25" s="3" customFormat="1" ht="15" customHeight="1" x14ac:dyDescent="0.45">
      <c r="B80" s="484"/>
      <c r="C80" s="484"/>
      <c r="D80" s="484"/>
      <c r="F80" s="123"/>
      <c r="G80" s="123"/>
      <c r="H80" s="123"/>
      <c r="I80" s="123"/>
      <c r="J80" s="123"/>
      <c r="K80" s="123"/>
      <c r="L80" s="123"/>
      <c r="M80" s="123"/>
      <c r="N80" s="123"/>
      <c r="O80" s="123"/>
      <c r="P80" s="123"/>
      <c r="Q80" s="123"/>
      <c r="R80" s="123"/>
      <c r="S80" s="123"/>
      <c r="T80" s="123"/>
      <c r="U80" s="123"/>
      <c r="V80" s="123"/>
      <c r="W80" s="123"/>
      <c r="X80" s="123"/>
      <c r="Y80" s="123"/>
    </row>
    <row r="81" spans="2:25" s="3" customFormat="1" ht="15" customHeight="1" x14ac:dyDescent="0.45">
      <c r="B81" s="484"/>
      <c r="C81" s="484"/>
      <c r="D81" s="484"/>
      <c r="F81" s="123"/>
      <c r="G81" s="123"/>
      <c r="H81" s="123"/>
      <c r="I81" s="123"/>
      <c r="J81" s="123"/>
      <c r="K81" s="123"/>
      <c r="L81" s="123"/>
      <c r="M81" s="123"/>
      <c r="N81" s="123"/>
      <c r="O81" s="123"/>
      <c r="P81" s="123"/>
      <c r="Q81" s="123"/>
      <c r="R81" s="123"/>
      <c r="S81" s="123"/>
      <c r="T81" s="123"/>
      <c r="U81" s="123"/>
      <c r="V81" s="123"/>
      <c r="W81" s="123"/>
      <c r="X81" s="123"/>
      <c r="Y81" s="123"/>
    </row>
    <row r="82" spans="2:25" s="3" customFormat="1" ht="15" customHeight="1" x14ac:dyDescent="0.45">
      <c r="B82" s="484"/>
      <c r="C82" s="484"/>
      <c r="D82" s="484"/>
      <c r="F82" s="123"/>
      <c r="G82" s="123"/>
      <c r="H82" s="123"/>
      <c r="I82" s="123"/>
      <c r="J82" s="123"/>
      <c r="K82" s="123"/>
      <c r="L82" s="123"/>
      <c r="M82" s="123"/>
      <c r="N82" s="123"/>
      <c r="O82" s="123"/>
      <c r="P82" s="123"/>
      <c r="Q82" s="123"/>
      <c r="R82" s="123"/>
      <c r="S82" s="123"/>
      <c r="T82" s="123"/>
      <c r="U82" s="123"/>
      <c r="V82" s="123"/>
      <c r="W82" s="123"/>
      <c r="X82" s="123"/>
      <c r="Y82" s="123"/>
    </row>
    <row r="83" spans="2:25" s="3" customFormat="1" ht="15" customHeight="1" x14ac:dyDescent="0.45">
      <c r="B83" s="484"/>
      <c r="C83" s="484"/>
      <c r="D83" s="484"/>
      <c r="F83" s="123"/>
      <c r="G83" s="123"/>
      <c r="H83" s="123"/>
      <c r="I83" s="123"/>
      <c r="J83" s="123"/>
      <c r="K83" s="123"/>
      <c r="L83" s="123"/>
      <c r="M83" s="123"/>
      <c r="N83" s="123"/>
      <c r="O83" s="123"/>
      <c r="P83" s="123"/>
      <c r="Q83" s="123"/>
      <c r="R83" s="123"/>
      <c r="S83" s="123"/>
      <c r="T83" s="123"/>
      <c r="U83" s="123"/>
      <c r="V83" s="123"/>
      <c r="W83" s="123"/>
      <c r="X83" s="123"/>
      <c r="Y83" s="123"/>
    </row>
    <row r="84" spans="2:25" s="3" customFormat="1" ht="15" customHeight="1" x14ac:dyDescent="0.45">
      <c r="B84" s="484"/>
      <c r="C84" s="484"/>
      <c r="D84" s="484"/>
      <c r="F84" s="123"/>
      <c r="G84" s="123"/>
      <c r="H84" s="123"/>
      <c r="I84" s="123"/>
      <c r="J84" s="123"/>
      <c r="K84" s="123"/>
      <c r="L84" s="123"/>
      <c r="M84" s="123"/>
      <c r="N84" s="123"/>
      <c r="O84" s="123"/>
      <c r="P84" s="123"/>
      <c r="Q84" s="123"/>
      <c r="R84" s="123"/>
      <c r="S84" s="123"/>
      <c r="T84" s="123"/>
      <c r="U84" s="123"/>
      <c r="V84" s="123"/>
      <c r="W84" s="123"/>
      <c r="X84" s="123"/>
      <c r="Y84" s="123"/>
    </row>
    <row r="85" spans="2:25" s="3" customFormat="1" ht="15" customHeight="1" x14ac:dyDescent="0.45">
      <c r="B85" s="484"/>
      <c r="C85" s="484"/>
      <c r="D85" s="484"/>
      <c r="F85" s="123"/>
      <c r="G85" s="123"/>
      <c r="H85" s="123"/>
      <c r="I85" s="123"/>
      <c r="J85" s="123"/>
      <c r="K85" s="123"/>
      <c r="L85" s="123"/>
      <c r="M85" s="123"/>
      <c r="N85" s="123"/>
      <c r="O85" s="123"/>
      <c r="P85" s="123"/>
      <c r="Q85" s="123"/>
      <c r="R85" s="123"/>
      <c r="S85" s="123"/>
      <c r="T85" s="123"/>
      <c r="U85" s="123"/>
      <c r="V85" s="123"/>
      <c r="W85" s="123"/>
      <c r="X85" s="123"/>
      <c r="Y85" s="123"/>
    </row>
  </sheetData>
  <mergeCells count="5">
    <mergeCell ref="B2:D2"/>
    <mergeCell ref="B3:B18"/>
    <mergeCell ref="B19:B32"/>
    <mergeCell ref="B33:B42"/>
    <mergeCell ref="B43:B44"/>
  </mergeCells>
  <pageMargins left="0.23622047244094491" right="0.23622047244094491" top="0.74803149606299213" bottom="0.74803149606299213" header="0.31496062992125984" footer="0.31496062992125984"/>
  <pageSetup paperSize="9" scale="50" fitToHeight="0" orientation="portrait" r:id="rId1"/>
  <headerFooter>
    <oddFooter>&amp;L&amp;F&amp;C&amp;P / &amp;N&amp;R&amp;D &amp;T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12FC-04F0-47A1-A771-6BF3C769B27F}">
  <sheetPr codeName="Hoja2"/>
  <dimension ref="A1:L12"/>
  <sheetViews>
    <sheetView zoomScale="70" zoomScaleNormal="70" zoomScaleSheetLayoutView="80" workbookViewId="0">
      <selection activeCell="F9" sqref="F9"/>
    </sheetView>
  </sheetViews>
  <sheetFormatPr baseColWidth="10" defaultColWidth="11.453125" defaultRowHeight="14.5" x14ac:dyDescent="0.35"/>
  <cols>
    <col min="1" max="2" width="25.1796875" style="46" customWidth="1"/>
    <col min="3" max="3" width="56.54296875" style="46" customWidth="1"/>
    <col min="4" max="6" width="22" style="46" customWidth="1"/>
    <col min="7" max="16384" width="11.453125" style="46"/>
  </cols>
  <sheetData>
    <row r="1" spans="1:12" s="40" customFormat="1" ht="84" customHeight="1" x14ac:dyDescent="0.35">
      <c r="A1" s="827" t="s">
        <v>501</v>
      </c>
      <c r="B1" s="828"/>
      <c r="C1" s="828"/>
      <c r="D1" s="828"/>
      <c r="E1" s="828"/>
      <c r="F1" s="828"/>
    </row>
    <row r="2" spans="1:12" s="40" customFormat="1" ht="39" customHeight="1" thickBot="1" x14ac:dyDescent="0.4">
      <c r="E2" s="829"/>
      <c r="F2" s="829"/>
    </row>
    <row r="3" spans="1:12" s="40" customFormat="1" ht="61.4" customHeight="1" thickBot="1" x14ac:dyDescent="0.4">
      <c r="A3" s="299" t="s">
        <v>502</v>
      </c>
      <c r="B3" s="300" t="s">
        <v>503</v>
      </c>
      <c r="C3" s="300" t="s">
        <v>504</v>
      </c>
      <c r="D3" s="300" t="s">
        <v>505</v>
      </c>
      <c r="E3" s="300" t="s">
        <v>506</v>
      </c>
      <c r="F3" s="301" t="s">
        <v>507</v>
      </c>
    </row>
    <row r="4" spans="1:12" s="40" customFormat="1" ht="48.75" customHeight="1" x14ac:dyDescent="0.35">
      <c r="A4" s="294" t="s">
        <v>508</v>
      </c>
      <c r="B4" s="295">
        <v>45477</v>
      </c>
      <c r="C4" s="296" t="s">
        <v>509</v>
      </c>
      <c r="D4" s="297" t="s">
        <v>510</v>
      </c>
      <c r="E4" s="297" t="s">
        <v>511</v>
      </c>
      <c r="F4" s="298" t="s">
        <v>512</v>
      </c>
    </row>
    <row r="5" spans="1:12" s="40" customFormat="1" ht="48.75" customHeight="1" x14ac:dyDescent="0.35">
      <c r="A5" s="41" t="s">
        <v>513</v>
      </c>
      <c r="B5" s="42">
        <v>45518</v>
      </c>
      <c r="C5" s="43" t="s">
        <v>514</v>
      </c>
      <c r="D5" s="44" t="s">
        <v>511</v>
      </c>
      <c r="E5" s="44" t="s">
        <v>515</v>
      </c>
      <c r="F5" s="293" t="s">
        <v>510</v>
      </c>
    </row>
    <row r="6" spans="1:12" s="40" customFormat="1" ht="48.75" customHeight="1" x14ac:dyDescent="0.35">
      <c r="A6" s="41" t="s">
        <v>516</v>
      </c>
      <c r="B6" s="42">
        <v>45586</v>
      </c>
      <c r="C6" s="43" t="s">
        <v>517</v>
      </c>
      <c r="D6" s="44" t="s">
        <v>511</v>
      </c>
      <c r="E6" s="44" t="s">
        <v>515</v>
      </c>
      <c r="F6" s="293" t="s">
        <v>510</v>
      </c>
    </row>
    <row r="7" spans="1:12" s="40" customFormat="1" ht="85.5" customHeight="1" x14ac:dyDescent="0.35">
      <c r="A7" s="41" t="s">
        <v>518</v>
      </c>
      <c r="B7" s="42">
        <v>45621</v>
      </c>
      <c r="C7" s="43" t="s">
        <v>519</v>
      </c>
      <c r="D7" s="44" t="s">
        <v>511</v>
      </c>
      <c r="E7" s="44" t="s">
        <v>515</v>
      </c>
      <c r="F7" s="293" t="s">
        <v>510</v>
      </c>
    </row>
    <row r="8" spans="1:12" ht="99.75" customHeight="1" x14ac:dyDescent="0.45">
      <c r="A8" s="41" t="s">
        <v>520</v>
      </c>
      <c r="B8" s="42">
        <v>45639</v>
      </c>
      <c r="C8" s="43" t="s">
        <v>521</v>
      </c>
      <c r="D8" s="44" t="s">
        <v>511</v>
      </c>
      <c r="E8" s="44" t="s">
        <v>515</v>
      </c>
      <c r="F8" s="293" t="s">
        <v>510</v>
      </c>
      <c r="G8" s="45"/>
      <c r="H8" s="45"/>
      <c r="I8" s="45"/>
      <c r="J8" s="45"/>
      <c r="K8" s="45"/>
      <c r="L8" s="45"/>
    </row>
    <row r="9" spans="1:12" ht="80.25" customHeight="1" x14ac:dyDescent="0.35">
      <c r="A9" s="41" t="s">
        <v>522</v>
      </c>
      <c r="B9" s="42">
        <v>45840</v>
      </c>
      <c r="C9" s="43" t="s">
        <v>523</v>
      </c>
      <c r="D9" s="44" t="s">
        <v>511</v>
      </c>
      <c r="E9" s="44" t="s">
        <v>515</v>
      </c>
      <c r="F9" s="293" t="s">
        <v>524</v>
      </c>
      <c r="G9" s="47"/>
      <c r="H9" s="48"/>
      <c r="I9" s="48"/>
      <c r="J9" s="48"/>
      <c r="K9" s="48"/>
      <c r="L9" s="48"/>
    </row>
    <row r="10" spans="1:12" ht="121.5" customHeight="1" x14ac:dyDescent="0.45">
      <c r="A10" s="41" t="s">
        <v>525</v>
      </c>
      <c r="B10" s="42">
        <v>45880</v>
      </c>
      <c r="C10" s="43" t="s">
        <v>526</v>
      </c>
      <c r="D10" s="44" t="s">
        <v>527</v>
      </c>
      <c r="E10" s="44" t="s">
        <v>527</v>
      </c>
      <c r="F10" s="293" t="s">
        <v>527</v>
      </c>
      <c r="G10" s="45"/>
      <c r="H10" s="45"/>
      <c r="I10" s="45"/>
      <c r="J10" s="45"/>
      <c r="K10" s="45"/>
      <c r="L10" s="45"/>
    </row>
    <row r="11" spans="1:12" ht="73.400000000000006" customHeight="1" x14ac:dyDescent="0.45">
      <c r="A11" s="536" t="s">
        <v>528</v>
      </c>
      <c r="B11" s="537">
        <v>45887</v>
      </c>
      <c r="C11" s="538" t="s">
        <v>529</v>
      </c>
      <c r="D11" s="539" t="s">
        <v>530</v>
      </c>
      <c r="E11" s="539" t="s">
        <v>527</v>
      </c>
      <c r="F11" s="540" t="s">
        <v>527</v>
      </c>
      <c r="G11" s="45"/>
      <c r="H11" s="45"/>
      <c r="I11" s="45"/>
      <c r="J11" s="45"/>
      <c r="K11" s="45"/>
      <c r="L11" s="45"/>
    </row>
    <row r="12" spans="1:12" ht="30.75" customHeight="1" thickBot="1" x14ac:dyDescent="0.4">
      <c r="A12" s="479" t="s">
        <v>716</v>
      </c>
      <c r="B12" s="480">
        <v>46141</v>
      </c>
      <c r="C12" s="481" t="s">
        <v>717</v>
      </c>
      <c r="D12" s="482" t="s">
        <v>719</v>
      </c>
      <c r="E12" s="482" t="s">
        <v>718</v>
      </c>
      <c r="F12" s="483" t="s">
        <v>527</v>
      </c>
    </row>
  </sheetData>
  <mergeCells count="2">
    <mergeCell ref="A1:F1"/>
    <mergeCell ref="E2:F2"/>
  </mergeCells>
  <phoneticPr fontId="33" type="noConversion"/>
  <printOptions horizontalCentered="1"/>
  <pageMargins left="0.48" right="0.4" top="1.27" bottom="1.55" header="0.31496062992125984" footer="0.31496062992125984"/>
  <pageSetup paperSize="9" scale="55" orientation="portrait" r:id="rId1"/>
  <colBreaks count="1" manualBreakCount="1">
    <brk id="6" max="2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78D1-5895-4BAA-A8DF-5781E5F3BCFA}">
  <sheetPr codeName="Hoja11">
    <outlinePr summaryBelow="0" summaryRight="0"/>
    <pageSetUpPr fitToPage="1"/>
  </sheetPr>
  <dimension ref="A1:AI96"/>
  <sheetViews>
    <sheetView showGridLines="0" topLeftCell="A26" zoomScale="70" zoomScaleNormal="70" zoomScaleSheetLayoutView="40" zoomScalePageLayoutView="55" workbookViewId="0">
      <selection activeCell="O93" sqref="O93"/>
    </sheetView>
  </sheetViews>
  <sheetFormatPr baseColWidth="10" defaultColWidth="0" defaultRowHeight="15" customHeight="1" zeroHeight="1" outlineLevelRow="1" outlineLevelCol="1" x14ac:dyDescent="0.3"/>
  <cols>
    <col min="1" max="1" width="4.453125" style="3" customWidth="1"/>
    <col min="2" max="2" width="10.54296875" style="3" customWidth="1"/>
    <col min="3" max="5" width="10" style="3" customWidth="1"/>
    <col min="6" max="6" width="13.81640625" style="3" customWidth="1"/>
    <col min="7" max="8" width="10" style="3" customWidth="1"/>
    <col min="9" max="9" width="8.1796875" style="3" customWidth="1"/>
    <col min="10" max="10" width="9.1796875" style="3" customWidth="1"/>
    <col min="11" max="12" width="10" style="3" customWidth="1"/>
    <col min="13" max="13" width="28.81640625" style="3" customWidth="1" collapsed="1"/>
    <col min="14" max="14" width="147.1796875" style="3" hidden="1" customWidth="1" outlineLevel="1"/>
    <col min="15" max="15" width="52.1796875" style="3" customWidth="1" collapsed="1"/>
    <col min="16" max="16" width="31.453125" style="160" hidden="1" customWidth="1"/>
    <col min="17" max="17" width="22.81640625" style="3" customWidth="1" collapsed="1"/>
    <col min="18" max="22" width="10" style="3" hidden="1" customWidth="1" outlineLevel="1"/>
    <col min="23" max="23" width="32.54296875" style="3" hidden="1" customWidth="1" outlineLevel="1"/>
    <col min="24" max="24" width="52.81640625" style="24" hidden="1" customWidth="1" outlineLevel="1"/>
    <col min="25" max="25" width="45.453125" style="24" hidden="1" customWidth="1" outlineLevel="1"/>
    <col min="26" max="26" width="4.1796875" style="3" customWidth="1" collapsed="1"/>
    <col min="27" max="27" width="20.1796875" style="123" hidden="1" customWidth="1"/>
    <col min="28" max="28" width="12.54296875" style="123" hidden="1" customWidth="1"/>
    <col min="29" max="33" width="11.54296875" style="123" hidden="1" customWidth="1"/>
    <col min="34" max="35" width="0" style="123" hidden="1" customWidth="1"/>
    <col min="36" max="16384" width="11.54296875" style="123" hidden="1"/>
  </cols>
  <sheetData>
    <row r="1" spans="2:35" ht="15" customHeight="1" x14ac:dyDescent="0.3"/>
    <row r="2" spans="2:35" ht="15" customHeight="1" thickBot="1" x14ac:dyDescent="0.35">
      <c r="P2" s="161" t="s">
        <v>531</v>
      </c>
    </row>
    <row r="3" spans="2:35" ht="15" customHeight="1" x14ac:dyDescent="0.3">
      <c r="B3" s="25"/>
      <c r="C3" s="26"/>
      <c r="D3" s="26"/>
      <c r="E3" s="883" t="s">
        <v>0</v>
      </c>
      <c r="F3" s="883"/>
      <c r="G3" s="883"/>
      <c r="H3" s="883"/>
      <c r="I3" s="883"/>
      <c r="J3" s="883"/>
      <c r="K3" s="883"/>
      <c r="L3" s="883"/>
      <c r="M3" s="883"/>
      <c r="N3" s="883"/>
      <c r="O3" s="883"/>
      <c r="P3" s="883"/>
      <c r="Q3" s="26"/>
      <c r="R3" s="56"/>
      <c r="S3" s="1"/>
      <c r="T3" s="885"/>
      <c r="U3" s="885"/>
      <c r="V3" s="2"/>
      <c r="W3" s="34"/>
      <c r="X3" s="34"/>
      <c r="Y3" s="39"/>
      <c r="Z3" s="73"/>
      <c r="AA3" s="123" t="s">
        <v>3</v>
      </c>
      <c r="AB3" s="123" t="s">
        <v>4</v>
      </c>
      <c r="AC3" s="123" t="s">
        <v>5</v>
      </c>
      <c r="AE3" s="123" t="s">
        <v>6</v>
      </c>
      <c r="AG3" s="123" t="s">
        <v>6</v>
      </c>
    </row>
    <row r="4" spans="2:35" ht="32.15" customHeight="1" thickBot="1" x14ac:dyDescent="0.4">
      <c r="B4" s="66"/>
      <c r="C4" s="67"/>
      <c r="D4" s="67"/>
      <c r="E4" s="884"/>
      <c r="F4" s="884"/>
      <c r="G4" s="884"/>
      <c r="H4" s="884"/>
      <c r="I4" s="884"/>
      <c r="J4" s="884"/>
      <c r="K4" s="884"/>
      <c r="L4" s="884"/>
      <c r="M4" s="884"/>
      <c r="N4" s="884"/>
      <c r="O4" s="884"/>
      <c r="P4" s="884"/>
      <c r="Q4" s="68" t="s">
        <v>532</v>
      </c>
      <c r="R4" s="72"/>
      <c r="S4" s="61"/>
      <c r="T4" s="69"/>
      <c r="U4" s="886"/>
      <c r="V4" s="887"/>
      <c r="W4" s="887"/>
      <c r="X4" s="70"/>
      <c r="Y4" s="71"/>
      <c r="Z4" s="73"/>
      <c r="AA4" s="123" t="s">
        <v>8</v>
      </c>
      <c r="AB4" s="123" t="s">
        <v>9</v>
      </c>
      <c r="AC4" s="123" t="s">
        <v>10</v>
      </c>
      <c r="AE4" s="123" t="s">
        <v>11</v>
      </c>
      <c r="AG4" s="123" t="s">
        <v>12</v>
      </c>
    </row>
    <row r="5" spans="2:35" ht="26.9" customHeight="1" thickBot="1" x14ac:dyDescent="0.4">
      <c r="B5" s="64"/>
      <c r="C5" s="65"/>
      <c r="D5" s="65" t="s">
        <v>533</v>
      </c>
      <c r="E5" s="57"/>
      <c r="F5" s="57"/>
      <c r="G5" s="57"/>
      <c r="H5" s="57"/>
      <c r="I5" s="57"/>
      <c r="J5" s="57"/>
      <c r="K5" s="57"/>
      <c r="L5" s="57"/>
      <c r="M5" s="57"/>
      <c r="N5" s="57"/>
      <c r="O5" s="57"/>
      <c r="P5" s="140"/>
      <c r="Q5" s="57"/>
      <c r="R5" s="72"/>
      <c r="S5" s="61"/>
      <c r="T5" s="61"/>
      <c r="U5" s="61"/>
      <c r="V5" s="61"/>
      <c r="W5" s="61"/>
      <c r="X5" s="62"/>
      <c r="Y5" s="63"/>
      <c r="Z5" s="73"/>
      <c r="AA5" s="123" t="s">
        <v>534</v>
      </c>
      <c r="AB5" s="123" t="s">
        <v>535</v>
      </c>
      <c r="AE5" s="123" t="s">
        <v>536</v>
      </c>
      <c r="AG5" s="123" t="s">
        <v>537</v>
      </c>
    </row>
    <row r="6" spans="2:35" ht="15" customHeight="1" x14ac:dyDescent="0.3">
      <c r="B6" s="58" t="s">
        <v>538</v>
      </c>
      <c r="C6" s="59"/>
      <c r="D6" s="59"/>
      <c r="E6" s="59"/>
      <c r="F6" s="59"/>
      <c r="G6" s="59"/>
      <c r="H6" s="59"/>
      <c r="I6" s="59"/>
      <c r="J6" s="59"/>
      <c r="K6" s="59"/>
      <c r="L6" s="59"/>
      <c r="M6" s="59"/>
      <c r="N6" s="59"/>
      <c r="O6" s="60"/>
      <c r="P6" s="141"/>
      <c r="Q6" s="60"/>
      <c r="R6" s="888"/>
      <c r="S6" s="704"/>
      <c r="T6" s="704"/>
      <c r="U6" s="704"/>
      <c r="V6" s="704"/>
      <c r="W6" s="704"/>
      <c r="X6" s="704"/>
      <c r="Y6" s="746"/>
      <c r="Z6" s="73"/>
      <c r="AB6" s="123" t="s">
        <v>14</v>
      </c>
      <c r="AE6" s="123" t="s">
        <v>15</v>
      </c>
      <c r="AG6" s="123" t="s">
        <v>16</v>
      </c>
    </row>
    <row r="7" spans="2:35" ht="15" customHeight="1" x14ac:dyDescent="0.3">
      <c r="B7" s="4"/>
      <c r="C7" s="35"/>
      <c r="D7" s="35"/>
      <c r="E7" s="36" t="s">
        <v>17</v>
      </c>
      <c r="F7" s="20"/>
      <c r="G7" s="20"/>
      <c r="H7" s="20"/>
      <c r="I7" s="20"/>
      <c r="J7" s="35"/>
      <c r="L7" s="37" t="s">
        <v>19</v>
      </c>
      <c r="M7" s="21"/>
      <c r="N7" s="75"/>
      <c r="O7" s="21"/>
      <c r="P7" s="142"/>
      <c r="Q7" s="51"/>
      <c r="R7" s="889"/>
      <c r="S7" s="705"/>
      <c r="T7" s="705"/>
      <c r="U7" s="705"/>
      <c r="V7" s="705"/>
      <c r="W7" s="705"/>
      <c r="X7" s="705"/>
      <c r="Y7" s="890"/>
      <c r="Z7" s="73"/>
      <c r="AG7" s="123" t="s">
        <v>21</v>
      </c>
    </row>
    <row r="8" spans="2:35" ht="15" customHeight="1" x14ac:dyDescent="0.3">
      <c r="B8" s="4"/>
      <c r="C8" s="35"/>
      <c r="D8" s="35"/>
      <c r="E8" s="36" t="s">
        <v>22</v>
      </c>
      <c r="F8" s="22"/>
      <c r="G8" s="22"/>
      <c r="H8" s="22"/>
      <c r="I8" s="22"/>
      <c r="J8" s="35"/>
      <c r="L8" s="50" t="s">
        <v>24</v>
      </c>
      <c r="M8" s="21"/>
      <c r="N8" s="75"/>
      <c r="O8" s="21"/>
      <c r="P8" s="142"/>
      <c r="Q8" s="133"/>
      <c r="R8" s="889"/>
      <c r="S8" s="705"/>
      <c r="T8" s="705"/>
      <c r="U8" s="705"/>
      <c r="V8" s="705"/>
      <c r="W8" s="705"/>
      <c r="X8" s="705"/>
      <c r="Y8" s="890"/>
      <c r="Z8" s="121"/>
      <c r="AA8" s="124"/>
      <c r="AB8" s="124"/>
      <c r="AC8" s="124"/>
      <c r="AD8" s="124"/>
      <c r="AF8" s="124"/>
      <c r="AG8" s="123" t="s">
        <v>26</v>
      </c>
      <c r="AH8" s="124"/>
      <c r="AI8" s="124"/>
    </row>
    <row r="9" spans="2:35" ht="15" customHeight="1" x14ac:dyDescent="0.3">
      <c r="B9" s="4"/>
      <c r="C9" s="35"/>
      <c r="D9" s="35"/>
      <c r="E9" s="36" t="s">
        <v>27</v>
      </c>
      <c r="F9" s="894"/>
      <c r="G9" s="894"/>
      <c r="H9" s="894"/>
      <c r="I9" s="894"/>
      <c r="J9" s="35"/>
      <c r="K9" s="37"/>
      <c r="L9" s="53" t="s">
        <v>29</v>
      </c>
      <c r="M9" s="54"/>
      <c r="N9" s="76"/>
      <c r="O9" s="55"/>
      <c r="P9" s="143"/>
      <c r="Q9" s="134"/>
      <c r="R9" s="889"/>
      <c r="S9" s="705"/>
      <c r="T9" s="705"/>
      <c r="U9" s="705"/>
      <c r="V9" s="705"/>
      <c r="W9" s="705"/>
      <c r="X9" s="705"/>
      <c r="Y9" s="890"/>
      <c r="Z9" s="121"/>
      <c r="AA9" s="124"/>
      <c r="AB9" s="124"/>
      <c r="AC9" s="124"/>
      <c r="AD9" s="124"/>
      <c r="AF9" s="124"/>
      <c r="AG9" s="124"/>
      <c r="AH9" s="124"/>
      <c r="AI9" s="124"/>
    </row>
    <row r="10" spans="2:35" ht="15" customHeight="1" x14ac:dyDescent="0.3">
      <c r="B10" s="4"/>
      <c r="C10" s="35"/>
      <c r="D10" s="35"/>
      <c r="E10" s="36" t="s">
        <v>31</v>
      </c>
      <c r="F10" s="895"/>
      <c r="G10" s="895"/>
      <c r="H10" s="895"/>
      <c r="I10" s="895"/>
      <c r="J10" s="35"/>
      <c r="K10" s="37"/>
      <c r="L10" s="53" t="s">
        <v>32</v>
      </c>
      <c r="M10" s="120" t="s">
        <v>10</v>
      </c>
      <c r="N10" s="76"/>
      <c r="O10" s="137"/>
      <c r="P10" s="144"/>
      <c r="Q10" s="135"/>
      <c r="R10" s="889"/>
      <c r="S10" s="705"/>
      <c r="T10" s="705"/>
      <c r="U10" s="705"/>
      <c r="V10" s="705"/>
      <c r="W10" s="705"/>
      <c r="X10" s="705"/>
      <c r="Y10" s="890"/>
      <c r="Z10" s="121"/>
      <c r="AA10" s="124"/>
      <c r="AB10" s="124"/>
      <c r="AC10" s="124"/>
      <c r="AD10" s="124"/>
      <c r="AE10" s="124"/>
      <c r="AF10" s="124"/>
      <c r="AG10" s="124"/>
      <c r="AH10" s="124"/>
      <c r="AI10" s="124"/>
    </row>
    <row r="11" spans="2:35" ht="15" customHeight="1" x14ac:dyDescent="0.3">
      <c r="B11" s="4"/>
      <c r="C11" s="35"/>
      <c r="D11" s="35"/>
      <c r="E11" s="36" t="s">
        <v>33</v>
      </c>
      <c r="F11" s="895"/>
      <c r="G11" s="895"/>
      <c r="H11" s="895"/>
      <c r="I11" s="895"/>
      <c r="J11" s="35"/>
      <c r="K11" s="37"/>
      <c r="L11" s="53" t="s">
        <v>34</v>
      </c>
      <c r="M11" s="162"/>
      <c r="N11" s="138"/>
      <c r="O11" s="139"/>
      <c r="P11" s="145"/>
      <c r="Q11" s="135"/>
      <c r="R11" s="889"/>
      <c r="S11" s="705"/>
      <c r="T11" s="705"/>
      <c r="U11" s="705"/>
      <c r="V11" s="705"/>
      <c r="W11" s="705"/>
      <c r="X11" s="705"/>
      <c r="Y11" s="890"/>
      <c r="Z11" s="121"/>
      <c r="AA11" s="124"/>
      <c r="AB11" s="124"/>
      <c r="AC11" s="124"/>
      <c r="AD11" s="124"/>
      <c r="AE11" s="124"/>
      <c r="AF11" s="124"/>
      <c r="AG11" s="124"/>
      <c r="AH11" s="124"/>
      <c r="AI11" s="124"/>
    </row>
    <row r="12" spans="2:35" ht="15" customHeight="1" thickBot="1" x14ac:dyDescent="0.35">
      <c r="B12" s="5"/>
      <c r="C12" s="6"/>
      <c r="D12" s="6"/>
      <c r="E12" s="6"/>
      <c r="F12" s="6"/>
      <c r="G12" s="6"/>
      <c r="H12" s="6"/>
      <c r="I12" s="6"/>
      <c r="J12" s="6"/>
      <c r="K12" s="6"/>
      <c r="L12" s="6"/>
      <c r="M12" s="7"/>
      <c r="N12" s="74"/>
      <c r="O12" s="6"/>
      <c r="P12" s="146"/>
      <c r="Q12" s="136"/>
      <c r="R12" s="891"/>
      <c r="S12" s="892"/>
      <c r="T12" s="892"/>
      <c r="U12" s="892"/>
      <c r="V12" s="892"/>
      <c r="W12" s="892"/>
      <c r="X12" s="892"/>
      <c r="Y12" s="893"/>
      <c r="Z12" s="121"/>
      <c r="AA12" s="124"/>
      <c r="AB12" s="124"/>
      <c r="AC12" s="124"/>
      <c r="AD12" s="124"/>
      <c r="AE12" s="124"/>
      <c r="AF12" s="124"/>
      <c r="AG12" s="124"/>
      <c r="AH12" s="124"/>
      <c r="AI12" s="124"/>
    </row>
    <row r="13" spans="2:35" ht="15" customHeight="1" thickBot="1" x14ac:dyDescent="0.4">
      <c r="B13" s="27">
        <v>1</v>
      </c>
      <c r="C13" s="101" t="s">
        <v>539</v>
      </c>
      <c r="D13" s="28"/>
      <c r="E13" s="28"/>
      <c r="F13" s="28"/>
      <c r="G13" s="28"/>
      <c r="H13" s="28"/>
      <c r="I13" s="28"/>
      <c r="J13" s="29"/>
      <c r="K13" s="29"/>
      <c r="L13" s="52"/>
      <c r="M13" s="91"/>
      <c r="N13" s="126" t="s">
        <v>540</v>
      </c>
      <c r="O13" s="92" t="s">
        <v>42</v>
      </c>
      <c r="P13" s="147" t="s">
        <v>541</v>
      </c>
      <c r="Q13" s="100" t="s">
        <v>37</v>
      </c>
      <c r="R13" s="864" t="s">
        <v>542</v>
      </c>
      <c r="S13" s="865"/>
      <c r="T13" s="865"/>
      <c r="U13" s="865"/>
      <c r="V13" s="865"/>
      <c r="W13" s="865"/>
      <c r="X13" s="105" t="s">
        <v>40</v>
      </c>
      <c r="Y13" s="106" t="s">
        <v>543</v>
      </c>
      <c r="Z13" s="122"/>
      <c r="AA13" s="124"/>
      <c r="AB13" s="124"/>
      <c r="AC13" s="124"/>
      <c r="AD13" s="124"/>
      <c r="AE13" s="124"/>
      <c r="AF13" s="124"/>
      <c r="AG13" s="124"/>
      <c r="AH13" s="124"/>
      <c r="AI13" s="124"/>
    </row>
    <row r="14" spans="2:35" ht="15" customHeight="1" outlineLevel="1" x14ac:dyDescent="0.3">
      <c r="B14" s="866" t="s">
        <v>544</v>
      </c>
      <c r="C14" s="23" t="s">
        <v>48</v>
      </c>
      <c r="D14" s="869" t="s">
        <v>545</v>
      </c>
      <c r="E14" s="870"/>
      <c r="F14" s="870"/>
      <c r="G14" s="870"/>
      <c r="H14" s="870"/>
      <c r="I14" s="870"/>
      <c r="J14" s="870"/>
      <c r="K14" s="870"/>
      <c r="L14" s="870"/>
      <c r="M14" s="870"/>
      <c r="N14" s="93" t="s">
        <v>546</v>
      </c>
      <c r="O14" s="18" t="s">
        <v>114</v>
      </c>
      <c r="P14" s="148" t="s">
        <v>547</v>
      </c>
      <c r="Q14" s="10"/>
      <c r="R14" s="852"/>
      <c r="S14" s="853"/>
      <c r="T14" s="853"/>
      <c r="U14" s="853"/>
      <c r="V14" s="853"/>
      <c r="W14" s="853"/>
      <c r="X14" s="107"/>
      <c r="Y14" s="108"/>
      <c r="Z14" s="122"/>
      <c r="AA14" s="124"/>
      <c r="AB14" s="124"/>
      <c r="AC14" s="124"/>
      <c r="AD14" s="124"/>
      <c r="AE14" s="124"/>
      <c r="AF14" s="124"/>
      <c r="AG14" s="124"/>
      <c r="AH14" s="124"/>
      <c r="AI14" s="124"/>
    </row>
    <row r="15" spans="2:35" ht="15" customHeight="1" outlineLevel="1" x14ac:dyDescent="0.3">
      <c r="B15" s="867"/>
      <c r="C15" s="11" t="s">
        <v>57</v>
      </c>
      <c r="D15" s="850" t="s">
        <v>548</v>
      </c>
      <c r="E15" s="851"/>
      <c r="F15" s="851"/>
      <c r="G15" s="851"/>
      <c r="H15" s="851"/>
      <c r="I15" s="851"/>
      <c r="J15" s="851"/>
      <c r="K15" s="851"/>
      <c r="L15" s="851"/>
      <c r="M15" s="851"/>
      <c r="N15" s="94" t="s">
        <v>549</v>
      </c>
      <c r="O15" s="9" t="s">
        <v>114</v>
      </c>
      <c r="P15" s="149" t="s">
        <v>547</v>
      </c>
      <c r="Q15" s="12"/>
      <c r="R15" s="852"/>
      <c r="S15" s="853"/>
      <c r="T15" s="853"/>
      <c r="U15" s="853"/>
      <c r="V15" s="853"/>
      <c r="W15" s="853"/>
      <c r="X15" s="107"/>
      <c r="Y15" s="108"/>
      <c r="Z15" s="122"/>
      <c r="AA15" s="124"/>
      <c r="AB15" s="124"/>
      <c r="AC15" s="124"/>
      <c r="AD15" s="124"/>
      <c r="AE15" s="124"/>
      <c r="AF15" s="124"/>
      <c r="AG15" s="124"/>
      <c r="AH15" s="124"/>
      <c r="AI15" s="124"/>
    </row>
    <row r="16" spans="2:35" ht="15" customHeight="1" outlineLevel="1" x14ac:dyDescent="0.3">
      <c r="B16" s="867"/>
      <c r="C16" s="11" t="s">
        <v>62</v>
      </c>
      <c r="D16" s="850" t="s">
        <v>550</v>
      </c>
      <c r="E16" s="851"/>
      <c r="F16" s="851"/>
      <c r="G16" s="851"/>
      <c r="H16" s="851"/>
      <c r="I16" s="851"/>
      <c r="J16" s="851"/>
      <c r="K16" s="851"/>
      <c r="L16" s="851"/>
      <c r="M16" s="851"/>
      <c r="N16" s="94" t="s">
        <v>551</v>
      </c>
      <c r="O16" s="9" t="s">
        <v>114</v>
      </c>
      <c r="P16" s="149" t="s">
        <v>547</v>
      </c>
      <c r="Q16" s="12"/>
      <c r="R16" s="852"/>
      <c r="S16" s="853"/>
      <c r="T16" s="853"/>
      <c r="U16" s="853"/>
      <c r="V16" s="853"/>
      <c r="W16" s="853"/>
      <c r="X16" s="107"/>
      <c r="Y16" s="108"/>
      <c r="Z16" s="122"/>
      <c r="AA16" s="124"/>
      <c r="AB16" s="124"/>
      <c r="AC16" s="124"/>
      <c r="AD16" s="124"/>
      <c r="AE16" s="124"/>
      <c r="AF16" s="124"/>
      <c r="AG16" s="124"/>
      <c r="AH16" s="124"/>
      <c r="AI16" s="124"/>
    </row>
    <row r="17" spans="2:35" ht="15" customHeight="1" outlineLevel="1" x14ac:dyDescent="0.3">
      <c r="B17" s="867"/>
      <c r="C17" s="11" t="s">
        <v>69</v>
      </c>
      <c r="D17" s="881" t="s">
        <v>552</v>
      </c>
      <c r="E17" s="882"/>
      <c r="F17" s="882"/>
      <c r="G17" s="882"/>
      <c r="H17" s="882"/>
      <c r="I17" s="882"/>
      <c r="J17" s="882"/>
      <c r="K17" s="882"/>
      <c r="L17" s="882"/>
      <c r="M17" s="882"/>
      <c r="N17" s="93" t="s">
        <v>553</v>
      </c>
      <c r="O17" s="13" t="s">
        <v>554</v>
      </c>
      <c r="P17" s="150" t="s">
        <v>547</v>
      </c>
      <c r="Q17" s="14"/>
      <c r="R17" s="852"/>
      <c r="S17" s="853"/>
      <c r="T17" s="853"/>
      <c r="U17" s="853"/>
      <c r="V17" s="853"/>
      <c r="W17" s="853"/>
      <c r="X17" s="107"/>
      <c r="Y17" s="108"/>
      <c r="Z17" s="122"/>
      <c r="AA17" s="124"/>
      <c r="AB17" s="124"/>
      <c r="AC17" s="124"/>
      <c r="AD17" s="124"/>
      <c r="AE17" s="124"/>
      <c r="AF17" s="124"/>
      <c r="AG17" s="124"/>
      <c r="AH17" s="124"/>
      <c r="AI17" s="124"/>
    </row>
    <row r="18" spans="2:35" ht="15" customHeight="1" outlineLevel="1" x14ac:dyDescent="0.3">
      <c r="B18" s="867"/>
      <c r="C18" s="11" t="s">
        <v>76</v>
      </c>
      <c r="D18" s="850" t="s">
        <v>555</v>
      </c>
      <c r="E18" s="851"/>
      <c r="F18" s="851"/>
      <c r="G18" s="851"/>
      <c r="H18" s="851"/>
      <c r="I18" s="851"/>
      <c r="J18" s="851"/>
      <c r="K18" s="851"/>
      <c r="L18" s="851"/>
      <c r="M18" s="851"/>
      <c r="N18" s="94" t="s">
        <v>556</v>
      </c>
      <c r="O18" s="9" t="s">
        <v>557</v>
      </c>
      <c r="P18" s="149" t="s">
        <v>547</v>
      </c>
      <c r="Q18" s="10"/>
      <c r="R18" s="852"/>
      <c r="S18" s="859"/>
      <c r="T18" s="859"/>
      <c r="U18" s="859"/>
      <c r="V18" s="859"/>
      <c r="W18" s="859"/>
      <c r="X18" s="109"/>
      <c r="Y18" s="108"/>
      <c r="Z18" s="122"/>
      <c r="AA18" s="124"/>
      <c r="AB18" s="124"/>
      <c r="AC18" s="124"/>
      <c r="AD18" s="124"/>
      <c r="AE18" s="124"/>
      <c r="AF18" s="124"/>
      <c r="AG18" s="124"/>
      <c r="AH18" s="124"/>
      <c r="AI18" s="124"/>
    </row>
    <row r="19" spans="2:35" ht="15" customHeight="1" outlineLevel="1" x14ac:dyDescent="0.3">
      <c r="B19" s="867"/>
      <c r="C19" s="11" t="s">
        <v>83</v>
      </c>
      <c r="D19" s="850" t="s">
        <v>558</v>
      </c>
      <c r="E19" s="851"/>
      <c r="F19" s="851"/>
      <c r="G19" s="851"/>
      <c r="H19" s="851"/>
      <c r="I19" s="851"/>
      <c r="J19" s="851"/>
      <c r="K19" s="851"/>
      <c r="L19" s="851"/>
      <c r="M19" s="851"/>
      <c r="N19" s="94" t="s">
        <v>559</v>
      </c>
      <c r="O19" s="9" t="s">
        <v>557</v>
      </c>
      <c r="P19" s="149" t="s">
        <v>547</v>
      </c>
      <c r="Q19" s="10"/>
      <c r="R19" s="852"/>
      <c r="S19" s="859"/>
      <c r="T19" s="859"/>
      <c r="U19" s="859"/>
      <c r="V19" s="859"/>
      <c r="W19" s="859"/>
      <c r="X19" s="109"/>
      <c r="Y19" s="108"/>
      <c r="Z19" s="122"/>
      <c r="AA19" s="124"/>
      <c r="AB19" s="124"/>
      <c r="AC19" s="124"/>
      <c r="AD19" s="124"/>
      <c r="AE19" s="124"/>
      <c r="AF19" s="124"/>
      <c r="AG19" s="124"/>
      <c r="AH19" s="124"/>
      <c r="AI19" s="124"/>
    </row>
    <row r="20" spans="2:35" ht="15" customHeight="1" outlineLevel="1" x14ac:dyDescent="0.3">
      <c r="B20" s="867"/>
      <c r="C20" s="11" t="s">
        <v>90</v>
      </c>
      <c r="D20" s="850" t="s">
        <v>560</v>
      </c>
      <c r="E20" s="851"/>
      <c r="F20" s="851"/>
      <c r="G20" s="851"/>
      <c r="H20" s="851"/>
      <c r="I20" s="851"/>
      <c r="J20" s="851"/>
      <c r="K20" s="851"/>
      <c r="L20" s="851"/>
      <c r="M20" s="851"/>
      <c r="N20" s="94" t="s">
        <v>561</v>
      </c>
      <c r="O20" s="9" t="s">
        <v>562</v>
      </c>
      <c r="P20" s="149" t="s">
        <v>547</v>
      </c>
      <c r="Q20" s="10"/>
      <c r="R20" s="852"/>
      <c r="S20" s="859"/>
      <c r="T20" s="859"/>
      <c r="U20" s="859"/>
      <c r="V20" s="859"/>
      <c r="W20" s="859"/>
      <c r="X20" s="109"/>
      <c r="Y20" s="108"/>
      <c r="Z20" s="122"/>
      <c r="AA20" s="124"/>
      <c r="AB20" s="124"/>
      <c r="AC20" s="124"/>
      <c r="AD20" s="124"/>
      <c r="AE20" s="124"/>
      <c r="AF20" s="124"/>
      <c r="AG20" s="124"/>
      <c r="AH20" s="124"/>
      <c r="AI20" s="124"/>
    </row>
    <row r="21" spans="2:35" ht="15" customHeight="1" outlineLevel="1" x14ac:dyDescent="0.3">
      <c r="B21" s="867"/>
      <c r="C21" s="11" t="s">
        <v>98</v>
      </c>
      <c r="D21" s="850" t="s">
        <v>563</v>
      </c>
      <c r="E21" s="851"/>
      <c r="F21" s="851"/>
      <c r="G21" s="851"/>
      <c r="H21" s="851"/>
      <c r="I21" s="851"/>
      <c r="J21" s="851"/>
      <c r="K21" s="851"/>
      <c r="L21" s="851"/>
      <c r="M21" s="851"/>
      <c r="N21" s="94" t="s">
        <v>564</v>
      </c>
      <c r="O21" s="9" t="s">
        <v>562</v>
      </c>
      <c r="P21" s="149" t="s">
        <v>547</v>
      </c>
      <c r="Q21" s="10"/>
      <c r="R21" s="852"/>
      <c r="S21" s="859"/>
      <c r="T21" s="859"/>
      <c r="U21" s="859"/>
      <c r="V21" s="859"/>
      <c r="W21" s="859"/>
      <c r="X21" s="109"/>
      <c r="Y21" s="108"/>
      <c r="Z21" s="122"/>
      <c r="AA21" s="124"/>
      <c r="AB21" s="124"/>
      <c r="AC21" s="124"/>
      <c r="AD21" s="124"/>
      <c r="AE21" s="124"/>
      <c r="AF21" s="124"/>
      <c r="AG21" s="124"/>
      <c r="AH21" s="124"/>
      <c r="AI21" s="124"/>
    </row>
    <row r="22" spans="2:35" ht="15" customHeight="1" outlineLevel="1" x14ac:dyDescent="0.3">
      <c r="B22" s="867"/>
      <c r="C22" s="11" t="s">
        <v>104</v>
      </c>
      <c r="D22" s="850" t="s">
        <v>565</v>
      </c>
      <c r="E22" s="851"/>
      <c r="F22" s="851"/>
      <c r="G22" s="851"/>
      <c r="H22" s="851"/>
      <c r="I22" s="851"/>
      <c r="J22" s="851"/>
      <c r="K22" s="851"/>
      <c r="L22" s="851"/>
      <c r="M22" s="851"/>
      <c r="N22" s="94" t="s">
        <v>566</v>
      </c>
      <c r="O22" s="9" t="s">
        <v>567</v>
      </c>
      <c r="P22" s="149" t="s">
        <v>547</v>
      </c>
      <c r="Q22" s="10"/>
      <c r="R22" s="852"/>
      <c r="S22" s="859"/>
      <c r="T22" s="859"/>
      <c r="U22" s="859"/>
      <c r="V22" s="859"/>
      <c r="W22" s="859"/>
      <c r="X22" s="109"/>
      <c r="Y22" s="108"/>
      <c r="Z22" s="122"/>
      <c r="AA22" s="124"/>
      <c r="AB22" s="124"/>
      <c r="AC22" s="124"/>
      <c r="AD22" s="124"/>
      <c r="AE22" s="124"/>
      <c r="AF22" s="124"/>
      <c r="AG22" s="124"/>
      <c r="AH22" s="124"/>
      <c r="AI22" s="124"/>
    </row>
    <row r="23" spans="2:35" ht="15" customHeight="1" outlineLevel="1" x14ac:dyDescent="0.3">
      <c r="B23" s="867"/>
      <c r="C23" s="11" t="s">
        <v>110</v>
      </c>
      <c r="D23" s="850" t="s">
        <v>568</v>
      </c>
      <c r="E23" s="851"/>
      <c r="F23" s="851"/>
      <c r="G23" s="851"/>
      <c r="H23" s="851"/>
      <c r="I23" s="851"/>
      <c r="J23" s="851"/>
      <c r="K23" s="851"/>
      <c r="L23" s="851"/>
      <c r="M23" s="851"/>
      <c r="N23" s="95" t="s">
        <v>569</v>
      </c>
      <c r="O23" s="9" t="s">
        <v>570</v>
      </c>
      <c r="P23" s="149" t="s">
        <v>547</v>
      </c>
      <c r="Q23" s="10"/>
      <c r="R23" s="852"/>
      <c r="S23" s="859"/>
      <c r="T23" s="859"/>
      <c r="U23" s="859"/>
      <c r="V23" s="859"/>
      <c r="W23" s="859"/>
      <c r="X23" s="109"/>
      <c r="Y23" s="108"/>
      <c r="Z23" s="122"/>
      <c r="AA23" s="124"/>
      <c r="AB23" s="124"/>
      <c r="AC23" s="124"/>
      <c r="AD23" s="124"/>
      <c r="AE23" s="124"/>
      <c r="AF23" s="124"/>
      <c r="AG23" s="124"/>
      <c r="AH23" s="124"/>
      <c r="AI23" s="124"/>
    </row>
    <row r="24" spans="2:35" ht="15" customHeight="1" outlineLevel="1" x14ac:dyDescent="0.3">
      <c r="B24" s="867"/>
      <c r="C24" s="11" t="s">
        <v>117</v>
      </c>
      <c r="D24" s="850" t="s">
        <v>571</v>
      </c>
      <c r="E24" s="851"/>
      <c r="F24" s="851"/>
      <c r="G24" s="851"/>
      <c r="H24" s="851"/>
      <c r="I24" s="851"/>
      <c r="J24" s="851"/>
      <c r="K24" s="851"/>
      <c r="L24" s="851"/>
      <c r="M24" s="851"/>
      <c r="N24" s="96" t="s">
        <v>572</v>
      </c>
      <c r="O24" s="15" t="s">
        <v>557</v>
      </c>
      <c r="P24" s="151"/>
      <c r="Q24" s="16"/>
      <c r="R24" s="852"/>
      <c r="S24" s="853"/>
      <c r="T24" s="853"/>
      <c r="U24" s="853"/>
      <c r="V24" s="853"/>
      <c r="W24" s="853"/>
      <c r="X24" s="107"/>
      <c r="Y24" s="108"/>
      <c r="Z24" s="122"/>
      <c r="AA24" s="124"/>
      <c r="AB24" s="124"/>
      <c r="AC24" s="124"/>
      <c r="AD24" s="124"/>
      <c r="AE24" s="124"/>
      <c r="AF24" s="124"/>
      <c r="AG24" s="124"/>
      <c r="AH24" s="124"/>
      <c r="AI24" s="124"/>
    </row>
    <row r="25" spans="2:35" ht="15" customHeight="1" outlineLevel="1" x14ac:dyDescent="0.3">
      <c r="B25" s="867"/>
      <c r="C25" s="11" t="s">
        <v>573</v>
      </c>
      <c r="D25" s="850" t="s">
        <v>574</v>
      </c>
      <c r="E25" s="851"/>
      <c r="F25" s="851"/>
      <c r="G25" s="851"/>
      <c r="H25" s="851"/>
      <c r="I25" s="851"/>
      <c r="J25" s="851"/>
      <c r="K25" s="851"/>
      <c r="L25" s="851"/>
      <c r="M25" s="851"/>
      <c r="N25" s="96" t="s">
        <v>575</v>
      </c>
      <c r="O25" s="15" t="s">
        <v>570</v>
      </c>
      <c r="P25" s="151"/>
      <c r="Q25" s="16"/>
      <c r="R25" s="852"/>
      <c r="S25" s="859"/>
      <c r="T25" s="859"/>
      <c r="U25" s="859"/>
      <c r="V25" s="859"/>
      <c r="W25" s="859"/>
      <c r="X25" s="109"/>
      <c r="Y25" s="108"/>
      <c r="Z25" s="122"/>
      <c r="AA25" s="124"/>
      <c r="AB25" s="124"/>
      <c r="AC25" s="124"/>
      <c r="AD25" s="124"/>
      <c r="AE25" s="124"/>
      <c r="AF25" s="124"/>
      <c r="AG25" s="124"/>
      <c r="AH25" s="124"/>
      <c r="AI25" s="124"/>
    </row>
    <row r="26" spans="2:35" ht="15" customHeight="1" outlineLevel="1" x14ac:dyDescent="0.3">
      <c r="B26" s="867"/>
      <c r="C26" s="11" t="s">
        <v>576</v>
      </c>
      <c r="D26" s="857" t="s">
        <v>577</v>
      </c>
      <c r="E26" s="858"/>
      <c r="F26" s="858"/>
      <c r="G26" s="858"/>
      <c r="H26" s="858"/>
      <c r="I26" s="858"/>
      <c r="J26" s="858"/>
      <c r="K26" s="858"/>
      <c r="L26" s="858"/>
      <c r="M26" s="858"/>
      <c r="N26" s="96" t="s">
        <v>578</v>
      </c>
      <c r="O26" s="9" t="s">
        <v>114</v>
      </c>
      <c r="P26" s="149" t="s">
        <v>547</v>
      </c>
      <c r="Q26" s="16"/>
      <c r="R26" s="852"/>
      <c r="S26" s="859"/>
      <c r="T26" s="859"/>
      <c r="U26" s="859"/>
      <c r="V26" s="859"/>
      <c r="W26" s="859"/>
      <c r="X26" s="110"/>
      <c r="Y26" s="111"/>
      <c r="Z26" s="122"/>
      <c r="AA26" s="124"/>
      <c r="AB26" s="124"/>
      <c r="AC26" s="124"/>
      <c r="AD26" s="124"/>
      <c r="AE26" s="124"/>
      <c r="AF26" s="124"/>
      <c r="AG26" s="124"/>
      <c r="AH26" s="124"/>
      <c r="AI26" s="124"/>
    </row>
    <row r="27" spans="2:35" ht="15" customHeight="1" outlineLevel="1" x14ac:dyDescent="0.3">
      <c r="B27" s="867"/>
      <c r="C27" s="11" t="s">
        <v>579</v>
      </c>
      <c r="D27" s="857" t="s">
        <v>580</v>
      </c>
      <c r="E27" s="858"/>
      <c r="F27" s="858"/>
      <c r="G27" s="858"/>
      <c r="H27" s="858"/>
      <c r="I27" s="858"/>
      <c r="J27" s="858"/>
      <c r="K27" s="858"/>
      <c r="L27" s="858"/>
      <c r="M27" s="858"/>
      <c r="N27" s="96" t="s">
        <v>581</v>
      </c>
      <c r="O27" s="9" t="s">
        <v>114</v>
      </c>
      <c r="P27" s="149" t="s">
        <v>547</v>
      </c>
      <c r="Q27" s="16"/>
      <c r="R27" s="852"/>
      <c r="S27" s="859"/>
      <c r="T27" s="859"/>
      <c r="U27" s="859"/>
      <c r="V27" s="859"/>
      <c r="W27" s="859"/>
      <c r="X27" s="110"/>
      <c r="Y27" s="111"/>
      <c r="Z27" s="122"/>
      <c r="AA27" s="124"/>
      <c r="AB27" s="124"/>
      <c r="AC27" s="124"/>
      <c r="AD27" s="124"/>
      <c r="AE27" s="124"/>
      <c r="AF27" s="124"/>
      <c r="AG27" s="124"/>
      <c r="AH27" s="124"/>
      <c r="AI27" s="124"/>
    </row>
    <row r="28" spans="2:35" ht="15" customHeight="1" outlineLevel="1" x14ac:dyDescent="0.3">
      <c r="B28" s="867"/>
      <c r="C28" s="830" t="s">
        <v>582</v>
      </c>
      <c r="D28" s="831"/>
      <c r="E28" s="831"/>
      <c r="F28" s="832"/>
      <c r="G28" s="830" t="s">
        <v>583</v>
      </c>
      <c r="H28" s="831"/>
      <c r="I28" s="831"/>
      <c r="J28" s="831"/>
      <c r="K28" s="831"/>
      <c r="L28" s="831"/>
      <c r="M28" s="831"/>
      <c r="N28" s="127"/>
      <c r="O28" s="831" t="s">
        <v>584</v>
      </c>
      <c r="P28" s="831"/>
      <c r="Q28" s="833"/>
      <c r="R28" s="834"/>
      <c r="S28" s="835"/>
      <c r="T28" s="835"/>
      <c r="U28" s="835"/>
      <c r="V28" s="835"/>
      <c r="W28" s="835"/>
      <c r="X28" s="835"/>
      <c r="Y28" s="836"/>
      <c r="Z28" s="122"/>
      <c r="AA28" s="124"/>
      <c r="AB28" s="124"/>
      <c r="AC28" s="124"/>
      <c r="AD28" s="124"/>
      <c r="AE28" s="124"/>
      <c r="AF28" s="124"/>
      <c r="AG28" s="124"/>
      <c r="AH28" s="124"/>
      <c r="AI28" s="124"/>
    </row>
    <row r="29" spans="2:35" ht="15" customHeight="1" outlineLevel="1" x14ac:dyDescent="0.3">
      <c r="B29" s="867"/>
      <c r="C29" s="843" t="s">
        <v>124</v>
      </c>
      <c r="D29" s="586"/>
      <c r="E29" s="844" t="s">
        <v>3</v>
      </c>
      <c r="F29" s="845"/>
      <c r="G29" s="843" t="s">
        <v>585</v>
      </c>
      <c r="H29" s="586"/>
      <c r="I29" s="848"/>
      <c r="J29" s="848"/>
      <c r="K29" s="843" t="s">
        <v>586</v>
      </c>
      <c r="L29" s="586"/>
      <c r="M29" s="85"/>
      <c r="N29" s="88"/>
      <c r="O29" s="80"/>
      <c r="P29" s="152"/>
      <c r="Q29" s="81"/>
      <c r="R29" s="837"/>
      <c r="S29" s="838"/>
      <c r="T29" s="838"/>
      <c r="U29" s="838"/>
      <c r="V29" s="838"/>
      <c r="W29" s="838"/>
      <c r="X29" s="838"/>
      <c r="Y29" s="839"/>
      <c r="Z29" s="122"/>
      <c r="AA29" s="124"/>
      <c r="AB29" s="124"/>
      <c r="AC29" s="124"/>
      <c r="AD29" s="124"/>
      <c r="AE29" s="124"/>
      <c r="AF29" s="124"/>
      <c r="AG29" s="124"/>
      <c r="AH29" s="124"/>
      <c r="AI29" s="124"/>
    </row>
    <row r="30" spans="2:35" ht="15" customHeight="1" outlineLevel="1" x14ac:dyDescent="0.3">
      <c r="B30" s="867"/>
      <c r="C30" s="843" t="s">
        <v>125</v>
      </c>
      <c r="D30" s="586"/>
      <c r="E30" s="579"/>
      <c r="F30" s="580"/>
      <c r="G30" s="843" t="s">
        <v>587</v>
      </c>
      <c r="H30" s="586"/>
      <c r="I30" s="849"/>
      <c r="J30" s="849"/>
      <c r="K30" s="843" t="s">
        <v>588</v>
      </c>
      <c r="L30" s="586"/>
      <c r="M30" s="86"/>
      <c r="N30" s="89"/>
      <c r="O30" s="82"/>
      <c r="P30" s="153"/>
      <c r="Q30" s="83"/>
      <c r="R30" s="837"/>
      <c r="S30" s="838"/>
      <c r="T30" s="838"/>
      <c r="U30" s="838"/>
      <c r="V30" s="838"/>
      <c r="W30" s="838"/>
      <c r="X30" s="838"/>
      <c r="Y30" s="839"/>
      <c r="Z30" s="122"/>
      <c r="AA30" s="124"/>
      <c r="AB30" s="124"/>
      <c r="AC30" s="124"/>
      <c r="AD30" s="124"/>
      <c r="AE30" s="124"/>
      <c r="AF30" s="124"/>
      <c r="AG30" s="124"/>
      <c r="AH30" s="124"/>
      <c r="AI30" s="124"/>
    </row>
    <row r="31" spans="2:35" ht="15" customHeight="1" outlineLevel="1" thickBot="1" x14ac:dyDescent="0.35">
      <c r="B31" s="867"/>
      <c r="C31" s="846" t="s">
        <v>126</v>
      </c>
      <c r="D31" s="585"/>
      <c r="E31" s="596"/>
      <c r="F31" s="597"/>
      <c r="G31" s="846" t="s">
        <v>589</v>
      </c>
      <c r="H31" s="585"/>
      <c r="I31" s="847"/>
      <c r="J31" s="847"/>
      <c r="K31" s="846" t="s">
        <v>114</v>
      </c>
      <c r="L31" s="585"/>
      <c r="M31" s="87"/>
      <c r="N31" s="90"/>
      <c r="O31" s="104"/>
      <c r="P31" s="154"/>
      <c r="Q31" s="84"/>
      <c r="R31" s="840"/>
      <c r="S31" s="841"/>
      <c r="T31" s="841"/>
      <c r="U31" s="841"/>
      <c r="V31" s="841"/>
      <c r="W31" s="841"/>
      <c r="X31" s="841"/>
      <c r="Y31" s="842"/>
      <c r="Z31" s="122"/>
      <c r="AA31" s="124"/>
      <c r="AB31" s="124"/>
      <c r="AC31" s="124"/>
      <c r="AD31" s="124"/>
      <c r="AE31" s="124"/>
      <c r="AF31" s="124"/>
      <c r="AG31" s="124"/>
      <c r="AH31" s="124"/>
      <c r="AI31" s="124"/>
    </row>
    <row r="32" spans="2:35" ht="15" customHeight="1" thickBot="1" x14ac:dyDescent="0.4">
      <c r="B32" s="30" t="s">
        <v>127</v>
      </c>
      <c r="C32" s="103" t="s">
        <v>590</v>
      </c>
      <c r="D32" s="31"/>
      <c r="E32" s="31"/>
      <c r="F32" s="31"/>
      <c r="G32" s="31"/>
      <c r="H32" s="31"/>
      <c r="I32" s="31"/>
      <c r="J32" s="32"/>
      <c r="K32" s="32"/>
      <c r="L32" s="52"/>
      <c r="M32" s="91"/>
      <c r="N32" s="128" t="s">
        <v>540</v>
      </c>
      <c r="O32" s="38" t="s">
        <v>42</v>
      </c>
      <c r="P32" s="155" t="s">
        <v>591</v>
      </c>
      <c r="Q32" s="100" t="s">
        <v>37</v>
      </c>
      <c r="R32" s="864" t="s">
        <v>542</v>
      </c>
      <c r="S32" s="865"/>
      <c r="T32" s="865"/>
      <c r="U32" s="865"/>
      <c r="V32" s="865"/>
      <c r="W32" s="865"/>
      <c r="X32" s="105" t="s">
        <v>40</v>
      </c>
      <c r="Y32" s="106" t="s">
        <v>543</v>
      </c>
      <c r="Z32" s="122"/>
      <c r="AA32" s="124"/>
      <c r="AB32" s="124"/>
      <c r="AC32" s="124"/>
      <c r="AD32" s="124"/>
      <c r="AE32" s="124"/>
      <c r="AF32" s="124"/>
      <c r="AG32" s="124"/>
      <c r="AH32" s="124"/>
      <c r="AI32" s="124"/>
    </row>
    <row r="33" spans="2:35" ht="15" customHeight="1" outlineLevel="1" x14ac:dyDescent="0.3">
      <c r="B33" s="866" t="s">
        <v>592</v>
      </c>
      <c r="C33" s="23" t="s">
        <v>130</v>
      </c>
      <c r="D33" s="869" t="s">
        <v>593</v>
      </c>
      <c r="E33" s="870"/>
      <c r="F33" s="870"/>
      <c r="G33" s="870"/>
      <c r="H33" s="870"/>
      <c r="I33" s="870"/>
      <c r="J33" s="870"/>
      <c r="K33" s="870"/>
      <c r="L33" s="870"/>
      <c r="M33" s="870"/>
      <c r="N33" s="129" t="s">
        <v>594</v>
      </c>
      <c r="O33" s="18" t="s">
        <v>595</v>
      </c>
      <c r="P33" s="156"/>
      <c r="Q33" s="19" t="str">
        <f>IF($P$10="Non-automotive", "X", "")</f>
        <v/>
      </c>
      <c r="R33" s="871"/>
      <c r="S33" s="872"/>
      <c r="T33" s="872"/>
      <c r="U33" s="872"/>
      <c r="V33" s="872"/>
      <c r="W33" s="872"/>
      <c r="X33" s="112"/>
      <c r="Y33" s="113"/>
      <c r="Z33" s="122"/>
      <c r="AA33" s="124"/>
      <c r="AB33" s="124"/>
      <c r="AC33" s="124"/>
      <c r="AD33" s="124"/>
      <c r="AE33" s="124"/>
      <c r="AF33" s="124"/>
      <c r="AG33" s="124"/>
      <c r="AH33" s="124"/>
      <c r="AI33" s="124"/>
    </row>
    <row r="34" spans="2:35" ht="15" customHeight="1" outlineLevel="1" x14ac:dyDescent="0.3">
      <c r="B34" s="867"/>
      <c r="C34" s="8" t="s">
        <v>138</v>
      </c>
      <c r="D34" s="879" t="s">
        <v>596</v>
      </c>
      <c r="E34" s="880"/>
      <c r="F34" s="880"/>
      <c r="G34" s="880"/>
      <c r="H34" s="880"/>
      <c r="I34" s="880"/>
      <c r="J34" s="880"/>
      <c r="K34" s="880"/>
      <c r="L34" s="880"/>
      <c r="M34" s="880"/>
      <c r="N34" s="130" t="s">
        <v>597</v>
      </c>
      <c r="O34" s="9" t="s">
        <v>557</v>
      </c>
      <c r="P34" s="151" t="s">
        <v>547</v>
      </c>
      <c r="Q34" s="16"/>
      <c r="R34" s="852"/>
      <c r="S34" s="853"/>
      <c r="T34" s="853"/>
      <c r="U34" s="853"/>
      <c r="V34" s="853"/>
      <c r="W34" s="853"/>
      <c r="X34" s="107"/>
      <c r="Y34" s="108"/>
      <c r="Z34" s="122"/>
      <c r="AA34" s="124"/>
      <c r="AB34" s="124"/>
      <c r="AC34" s="124"/>
      <c r="AD34" s="124"/>
      <c r="AE34" s="124"/>
      <c r="AF34" s="124"/>
      <c r="AG34" s="124"/>
      <c r="AH34" s="124"/>
      <c r="AI34" s="124"/>
    </row>
    <row r="35" spans="2:35" ht="15" customHeight="1" outlineLevel="1" x14ac:dyDescent="0.3">
      <c r="B35" s="867"/>
      <c r="C35" s="8" t="s">
        <v>146</v>
      </c>
      <c r="D35" s="850" t="s">
        <v>598</v>
      </c>
      <c r="E35" s="851"/>
      <c r="F35" s="851"/>
      <c r="G35" s="851"/>
      <c r="H35" s="851"/>
      <c r="I35" s="851"/>
      <c r="J35" s="851"/>
      <c r="K35" s="851"/>
      <c r="L35" s="851"/>
      <c r="M35" s="851"/>
      <c r="N35" s="94" t="s">
        <v>599</v>
      </c>
      <c r="O35" s="9" t="s">
        <v>557</v>
      </c>
      <c r="P35" s="151" t="s">
        <v>547</v>
      </c>
      <c r="Q35" s="16"/>
      <c r="R35" s="852"/>
      <c r="S35" s="853"/>
      <c r="T35" s="853"/>
      <c r="U35" s="853"/>
      <c r="V35" s="853"/>
      <c r="W35" s="853"/>
      <c r="X35" s="107"/>
      <c r="Y35" s="108"/>
      <c r="Z35" s="122"/>
      <c r="AA35" s="124"/>
      <c r="AB35" s="124"/>
      <c r="AC35" s="124"/>
      <c r="AD35" s="124"/>
      <c r="AE35" s="124"/>
      <c r="AF35" s="124"/>
      <c r="AG35" s="124"/>
      <c r="AH35" s="124"/>
      <c r="AI35" s="124"/>
    </row>
    <row r="36" spans="2:35" ht="15" customHeight="1" outlineLevel="1" x14ac:dyDescent="0.3">
      <c r="B36" s="867"/>
      <c r="C36" s="8" t="s">
        <v>155</v>
      </c>
      <c r="D36" s="850" t="s">
        <v>600</v>
      </c>
      <c r="E36" s="851"/>
      <c r="F36" s="851"/>
      <c r="G36" s="851"/>
      <c r="H36" s="851"/>
      <c r="I36" s="851"/>
      <c r="J36" s="851"/>
      <c r="K36" s="851"/>
      <c r="L36" s="851"/>
      <c r="M36" s="851"/>
      <c r="N36" s="94" t="s">
        <v>601</v>
      </c>
      <c r="O36" s="9" t="s">
        <v>562</v>
      </c>
      <c r="P36" s="151"/>
      <c r="Q36" s="16"/>
      <c r="R36" s="852"/>
      <c r="S36" s="853"/>
      <c r="T36" s="853"/>
      <c r="U36" s="853"/>
      <c r="V36" s="853"/>
      <c r="W36" s="853"/>
      <c r="X36" s="107"/>
      <c r="Y36" s="108"/>
      <c r="Z36" s="122"/>
      <c r="AA36" s="124"/>
      <c r="AB36" s="124"/>
      <c r="AC36" s="124"/>
      <c r="AD36" s="124"/>
      <c r="AE36" s="124"/>
      <c r="AF36" s="124"/>
      <c r="AG36" s="124"/>
      <c r="AH36" s="124"/>
      <c r="AI36" s="124"/>
    </row>
    <row r="37" spans="2:35" ht="15" customHeight="1" outlineLevel="1" x14ac:dyDescent="0.3">
      <c r="B37" s="867"/>
      <c r="C37" s="8" t="s">
        <v>161</v>
      </c>
      <c r="D37" s="850" t="s">
        <v>602</v>
      </c>
      <c r="E37" s="851"/>
      <c r="F37" s="851"/>
      <c r="G37" s="851"/>
      <c r="H37" s="851"/>
      <c r="I37" s="851"/>
      <c r="J37" s="851"/>
      <c r="K37" s="851"/>
      <c r="L37" s="851"/>
      <c r="M37" s="851"/>
      <c r="N37" s="94" t="s">
        <v>603</v>
      </c>
      <c r="O37" s="9" t="s">
        <v>562</v>
      </c>
      <c r="P37" s="151" t="s">
        <v>547</v>
      </c>
      <c r="Q37" s="16"/>
      <c r="R37" s="852"/>
      <c r="S37" s="853"/>
      <c r="T37" s="853"/>
      <c r="U37" s="853"/>
      <c r="V37" s="853"/>
      <c r="W37" s="853"/>
      <c r="X37" s="107"/>
      <c r="Y37" s="108"/>
      <c r="Z37" s="122"/>
      <c r="AA37" s="124"/>
      <c r="AB37" s="124"/>
      <c r="AC37" s="124"/>
      <c r="AD37" s="124"/>
      <c r="AE37" s="124"/>
      <c r="AF37" s="124"/>
      <c r="AG37" s="124"/>
      <c r="AH37" s="124"/>
      <c r="AI37" s="124"/>
    </row>
    <row r="38" spans="2:35" ht="15" customHeight="1" outlineLevel="1" x14ac:dyDescent="0.3">
      <c r="B38" s="867"/>
      <c r="C38" s="8" t="s">
        <v>168</v>
      </c>
      <c r="D38" s="850" t="s">
        <v>604</v>
      </c>
      <c r="E38" s="851"/>
      <c r="F38" s="851"/>
      <c r="G38" s="851"/>
      <c r="H38" s="851"/>
      <c r="I38" s="851"/>
      <c r="J38" s="851"/>
      <c r="K38" s="851"/>
      <c r="L38" s="851"/>
      <c r="M38" s="851"/>
      <c r="N38" s="94" t="s">
        <v>605</v>
      </c>
      <c r="O38" s="9" t="s">
        <v>606</v>
      </c>
      <c r="P38" s="151"/>
      <c r="Q38" s="10"/>
      <c r="R38" s="852"/>
      <c r="S38" s="853"/>
      <c r="T38" s="853"/>
      <c r="U38" s="853"/>
      <c r="V38" s="853"/>
      <c r="W38" s="853"/>
      <c r="X38" s="107"/>
      <c r="Y38" s="108"/>
      <c r="Z38" s="122"/>
      <c r="AA38" s="124"/>
      <c r="AB38" s="124"/>
      <c r="AC38" s="124"/>
      <c r="AD38" s="124"/>
      <c r="AE38" s="124"/>
      <c r="AF38" s="124"/>
      <c r="AG38" s="124"/>
      <c r="AH38" s="124"/>
      <c r="AI38" s="124"/>
    </row>
    <row r="39" spans="2:35" ht="15" customHeight="1" outlineLevel="1" x14ac:dyDescent="0.3">
      <c r="B39" s="867"/>
      <c r="C39" s="8" t="s">
        <v>177</v>
      </c>
      <c r="D39" s="873" t="s">
        <v>607</v>
      </c>
      <c r="E39" s="851"/>
      <c r="F39" s="851"/>
      <c r="G39" s="851"/>
      <c r="H39" s="851"/>
      <c r="I39" s="851"/>
      <c r="J39" s="851"/>
      <c r="K39" s="851"/>
      <c r="L39" s="851"/>
      <c r="M39" s="851"/>
      <c r="N39" s="163" t="s">
        <v>608</v>
      </c>
      <c r="O39" s="98" t="s">
        <v>609</v>
      </c>
      <c r="P39" s="151" t="s">
        <v>547</v>
      </c>
      <c r="Q39" s="16"/>
      <c r="R39" s="852"/>
      <c r="S39" s="853"/>
      <c r="T39" s="853"/>
      <c r="U39" s="853"/>
      <c r="V39" s="853"/>
      <c r="W39" s="853"/>
      <c r="X39" s="107"/>
      <c r="Y39" s="108"/>
      <c r="Z39" s="122"/>
      <c r="AA39" s="124"/>
      <c r="AB39" s="124"/>
      <c r="AC39" s="124"/>
      <c r="AD39" s="124"/>
      <c r="AE39" s="124"/>
      <c r="AF39" s="124"/>
      <c r="AG39" s="124"/>
      <c r="AH39" s="124"/>
      <c r="AI39" s="124"/>
    </row>
    <row r="40" spans="2:35" ht="15" customHeight="1" outlineLevel="1" x14ac:dyDescent="0.3">
      <c r="B40" s="867"/>
      <c r="C40" s="8" t="s">
        <v>184</v>
      </c>
      <c r="D40" s="850" t="s">
        <v>610</v>
      </c>
      <c r="E40" s="851"/>
      <c r="F40" s="851"/>
      <c r="G40" s="851"/>
      <c r="H40" s="851"/>
      <c r="I40" s="851"/>
      <c r="J40" s="851"/>
      <c r="K40" s="851"/>
      <c r="L40" s="851"/>
      <c r="M40" s="851"/>
      <c r="N40" s="94" t="s">
        <v>611</v>
      </c>
      <c r="O40" s="9" t="s">
        <v>612</v>
      </c>
      <c r="P40" s="151" t="s">
        <v>547</v>
      </c>
      <c r="Q40" s="10"/>
      <c r="R40" s="852"/>
      <c r="S40" s="853"/>
      <c r="T40" s="853"/>
      <c r="U40" s="853"/>
      <c r="V40" s="853"/>
      <c r="W40" s="853"/>
      <c r="X40" s="107"/>
      <c r="Y40" s="108"/>
      <c r="Z40" s="122"/>
      <c r="AA40" s="124"/>
      <c r="AB40" s="124"/>
      <c r="AC40" s="124"/>
      <c r="AD40" s="124"/>
      <c r="AE40" s="124"/>
      <c r="AF40" s="124"/>
      <c r="AG40" s="124"/>
      <c r="AH40" s="124"/>
      <c r="AI40" s="124"/>
    </row>
    <row r="41" spans="2:35" ht="15" customHeight="1" outlineLevel="1" x14ac:dyDescent="0.3">
      <c r="B41" s="867"/>
      <c r="C41" s="8" t="s">
        <v>192</v>
      </c>
      <c r="D41" s="850" t="s">
        <v>613</v>
      </c>
      <c r="E41" s="851"/>
      <c r="F41" s="851"/>
      <c r="G41" s="851"/>
      <c r="H41" s="851"/>
      <c r="I41" s="851"/>
      <c r="J41" s="851"/>
      <c r="K41" s="851"/>
      <c r="L41" s="851"/>
      <c r="M41" s="851"/>
      <c r="N41" s="94" t="s">
        <v>614</v>
      </c>
      <c r="O41" s="9" t="s">
        <v>615</v>
      </c>
      <c r="P41" s="151" t="s">
        <v>547</v>
      </c>
      <c r="Q41" s="14"/>
      <c r="R41" s="852"/>
      <c r="S41" s="853"/>
      <c r="T41" s="853"/>
      <c r="U41" s="853"/>
      <c r="V41" s="853"/>
      <c r="W41" s="853"/>
      <c r="X41" s="107"/>
      <c r="Y41" s="108"/>
      <c r="Z41" s="122"/>
      <c r="AA41" s="124"/>
      <c r="AB41" s="124"/>
      <c r="AC41" s="124"/>
      <c r="AD41" s="124"/>
      <c r="AE41" s="124"/>
      <c r="AF41" s="124"/>
      <c r="AG41" s="124"/>
      <c r="AH41" s="124"/>
      <c r="AI41" s="124"/>
    </row>
    <row r="42" spans="2:35" ht="15" customHeight="1" outlineLevel="1" x14ac:dyDescent="0.3">
      <c r="B42" s="867"/>
      <c r="C42" s="8" t="s">
        <v>200</v>
      </c>
      <c r="D42" s="850" t="s">
        <v>616</v>
      </c>
      <c r="E42" s="851"/>
      <c r="F42" s="851"/>
      <c r="G42" s="851"/>
      <c r="H42" s="851"/>
      <c r="I42" s="851"/>
      <c r="J42" s="851"/>
      <c r="K42" s="851"/>
      <c r="L42" s="851"/>
      <c r="M42" s="851"/>
      <c r="N42" s="94" t="s">
        <v>617</v>
      </c>
      <c r="O42" s="9" t="s">
        <v>612</v>
      </c>
      <c r="P42" s="151" t="s">
        <v>547</v>
      </c>
      <c r="Q42" s="14"/>
      <c r="R42" s="852"/>
      <c r="S42" s="853"/>
      <c r="T42" s="853"/>
      <c r="U42" s="853"/>
      <c r="V42" s="853"/>
      <c r="W42" s="853"/>
      <c r="X42" s="107"/>
      <c r="Y42" s="108"/>
      <c r="Z42" s="122"/>
      <c r="AA42" s="124"/>
      <c r="AB42" s="124"/>
      <c r="AC42" s="124"/>
      <c r="AD42" s="124"/>
      <c r="AE42" s="124"/>
      <c r="AF42" s="124"/>
      <c r="AG42" s="124"/>
      <c r="AH42" s="124"/>
      <c r="AI42" s="124"/>
    </row>
    <row r="43" spans="2:35" ht="15" customHeight="1" outlineLevel="1" x14ac:dyDescent="0.3">
      <c r="B43" s="867"/>
      <c r="C43" s="8" t="s">
        <v>209</v>
      </c>
      <c r="D43" s="850" t="s">
        <v>618</v>
      </c>
      <c r="E43" s="851"/>
      <c r="F43" s="851"/>
      <c r="G43" s="851"/>
      <c r="H43" s="851"/>
      <c r="I43" s="851"/>
      <c r="J43" s="851"/>
      <c r="K43" s="851"/>
      <c r="L43" s="851"/>
      <c r="M43" s="851"/>
      <c r="N43" s="94" t="s">
        <v>619</v>
      </c>
      <c r="O43" s="9" t="s">
        <v>562</v>
      </c>
      <c r="P43" s="151"/>
      <c r="Q43" s="14"/>
      <c r="R43" s="852"/>
      <c r="S43" s="853"/>
      <c r="T43" s="853"/>
      <c r="U43" s="853"/>
      <c r="V43" s="853"/>
      <c r="W43" s="853"/>
      <c r="X43" s="107"/>
      <c r="Y43" s="108"/>
      <c r="Z43" s="122"/>
      <c r="AA43" s="124"/>
      <c r="AB43" s="124"/>
      <c r="AC43" s="124"/>
      <c r="AD43" s="124"/>
      <c r="AE43" s="124"/>
      <c r="AF43" s="124"/>
      <c r="AG43" s="124"/>
      <c r="AH43" s="124"/>
      <c r="AI43" s="124"/>
    </row>
    <row r="44" spans="2:35" ht="15" customHeight="1" outlineLevel="1" x14ac:dyDescent="0.3">
      <c r="B44" s="867"/>
      <c r="C44" s="8" t="s">
        <v>218</v>
      </c>
      <c r="D44" s="850" t="s">
        <v>620</v>
      </c>
      <c r="E44" s="851"/>
      <c r="F44" s="851"/>
      <c r="G44" s="851"/>
      <c r="H44" s="851"/>
      <c r="I44" s="851"/>
      <c r="J44" s="851"/>
      <c r="K44" s="851"/>
      <c r="L44" s="851"/>
      <c r="M44" s="851"/>
      <c r="N44" s="94" t="s">
        <v>621</v>
      </c>
      <c r="O44" s="9" t="s">
        <v>622</v>
      </c>
      <c r="P44" s="151"/>
      <c r="Q44" s="14"/>
      <c r="R44" s="852"/>
      <c r="S44" s="853"/>
      <c r="T44" s="853"/>
      <c r="U44" s="853"/>
      <c r="V44" s="853"/>
      <c r="W44" s="853"/>
      <c r="X44" s="107"/>
      <c r="Y44" s="108"/>
      <c r="Z44" s="122"/>
      <c r="AA44" s="124"/>
      <c r="AB44" s="124"/>
      <c r="AC44" s="124"/>
      <c r="AD44" s="124"/>
      <c r="AE44" s="124"/>
      <c r="AF44" s="124"/>
      <c r="AG44" s="124"/>
      <c r="AH44" s="124"/>
      <c r="AI44" s="124"/>
    </row>
    <row r="45" spans="2:35" ht="15" customHeight="1" outlineLevel="1" x14ac:dyDescent="0.3">
      <c r="B45" s="867"/>
      <c r="C45" s="8" t="s">
        <v>224</v>
      </c>
      <c r="D45" s="850" t="s">
        <v>623</v>
      </c>
      <c r="E45" s="851"/>
      <c r="F45" s="851"/>
      <c r="G45" s="851"/>
      <c r="H45" s="851"/>
      <c r="I45" s="851"/>
      <c r="J45" s="851"/>
      <c r="K45" s="851"/>
      <c r="L45" s="851"/>
      <c r="M45" s="851"/>
      <c r="N45" s="94" t="s">
        <v>624</v>
      </c>
      <c r="O45" s="9" t="s">
        <v>625</v>
      </c>
      <c r="P45" s="151" t="s">
        <v>547</v>
      </c>
      <c r="Q45" s="14"/>
      <c r="R45" s="852"/>
      <c r="S45" s="853"/>
      <c r="T45" s="853"/>
      <c r="U45" s="853"/>
      <c r="V45" s="853"/>
      <c r="W45" s="853"/>
      <c r="X45" s="107"/>
      <c r="Y45" s="108"/>
      <c r="Z45" s="122"/>
      <c r="AA45" s="124"/>
      <c r="AB45" s="124"/>
      <c r="AC45" s="124"/>
      <c r="AD45" s="124"/>
      <c r="AE45" s="124"/>
      <c r="AF45" s="124"/>
      <c r="AG45" s="124"/>
      <c r="AH45" s="124"/>
      <c r="AI45" s="124"/>
    </row>
    <row r="46" spans="2:35" ht="15" customHeight="1" outlineLevel="1" x14ac:dyDescent="0.3">
      <c r="B46" s="867"/>
      <c r="C46" s="8" t="s">
        <v>229</v>
      </c>
      <c r="D46" s="850" t="s">
        <v>626</v>
      </c>
      <c r="E46" s="851"/>
      <c r="F46" s="851"/>
      <c r="G46" s="851"/>
      <c r="H46" s="851"/>
      <c r="I46" s="851"/>
      <c r="J46" s="851"/>
      <c r="K46" s="851"/>
      <c r="L46" s="851"/>
      <c r="M46" s="851"/>
      <c r="N46" s="94" t="s">
        <v>627</v>
      </c>
      <c r="O46" s="9" t="s">
        <v>562</v>
      </c>
      <c r="P46" s="151" t="s">
        <v>547</v>
      </c>
      <c r="Q46" s="14"/>
      <c r="R46" s="852"/>
      <c r="S46" s="853"/>
      <c r="T46" s="853"/>
      <c r="U46" s="853"/>
      <c r="V46" s="853"/>
      <c r="W46" s="853"/>
      <c r="X46" s="107"/>
      <c r="Y46" s="108"/>
    </row>
    <row r="47" spans="2:35" ht="15" customHeight="1" outlineLevel="1" x14ac:dyDescent="0.3">
      <c r="B47" s="867"/>
      <c r="C47" s="8" t="s">
        <v>234</v>
      </c>
      <c r="D47" s="850" t="s">
        <v>230</v>
      </c>
      <c r="E47" s="851"/>
      <c r="F47" s="851"/>
      <c r="G47" s="851"/>
      <c r="H47" s="851"/>
      <c r="I47" s="851"/>
      <c r="J47" s="851"/>
      <c r="K47" s="851"/>
      <c r="L47" s="851"/>
      <c r="M47" s="851"/>
      <c r="N47" s="94" t="s">
        <v>627</v>
      </c>
      <c r="O47" s="9" t="s">
        <v>567</v>
      </c>
      <c r="P47" s="151" t="s">
        <v>547</v>
      </c>
      <c r="Q47" s="14"/>
      <c r="R47" s="852"/>
      <c r="S47" s="853"/>
      <c r="T47" s="853"/>
      <c r="U47" s="853"/>
      <c r="V47" s="853"/>
      <c r="W47" s="853"/>
      <c r="X47" s="107"/>
      <c r="Y47" s="108"/>
    </row>
    <row r="48" spans="2:35" ht="15" customHeight="1" outlineLevel="1" x14ac:dyDescent="0.3">
      <c r="B48" s="867"/>
      <c r="C48" s="8" t="s">
        <v>243</v>
      </c>
      <c r="D48" s="850" t="s">
        <v>628</v>
      </c>
      <c r="E48" s="851"/>
      <c r="F48" s="851"/>
      <c r="G48" s="851"/>
      <c r="H48" s="851"/>
      <c r="I48" s="851"/>
      <c r="J48" s="851"/>
      <c r="K48" s="851"/>
      <c r="L48" s="851"/>
      <c r="M48" s="851"/>
      <c r="N48" s="94" t="s">
        <v>629</v>
      </c>
      <c r="O48" s="9" t="s">
        <v>630</v>
      </c>
      <c r="P48" s="151" t="s">
        <v>547</v>
      </c>
      <c r="Q48" s="14"/>
      <c r="R48" s="852"/>
      <c r="S48" s="853"/>
      <c r="T48" s="853"/>
      <c r="U48" s="853"/>
      <c r="V48" s="853"/>
      <c r="W48" s="853"/>
      <c r="X48" s="107"/>
      <c r="Y48" s="108"/>
    </row>
    <row r="49" spans="1:35" ht="15" customHeight="1" outlineLevel="1" x14ac:dyDescent="0.3">
      <c r="B49" s="867"/>
      <c r="C49" s="8" t="s">
        <v>631</v>
      </c>
      <c r="D49" s="857" t="s">
        <v>577</v>
      </c>
      <c r="E49" s="858"/>
      <c r="F49" s="858"/>
      <c r="G49" s="858"/>
      <c r="H49" s="858"/>
      <c r="I49" s="858"/>
      <c r="J49" s="858"/>
      <c r="K49" s="858"/>
      <c r="L49" s="858"/>
      <c r="M49" s="858"/>
      <c r="N49" s="96" t="s">
        <v>578</v>
      </c>
      <c r="O49" s="9" t="s">
        <v>114</v>
      </c>
      <c r="P49" s="149" t="s">
        <v>547</v>
      </c>
      <c r="Q49" s="16"/>
      <c r="R49" s="852"/>
      <c r="S49" s="859"/>
      <c r="T49" s="859"/>
      <c r="U49" s="859"/>
      <c r="V49" s="859"/>
      <c r="W49" s="859"/>
      <c r="X49" s="110"/>
      <c r="Y49" s="111"/>
      <c r="Z49" s="122"/>
      <c r="AA49" s="124"/>
      <c r="AB49" s="124"/>
      <c r="AC49" s="124"/>
      <c r="AD49" s="124"/>
      <c r="AE49" s="124"/>
      <c r="AF49" s="124"/>
      <c r="AG49" s="124"/>
      <c r="AH49" s="124"/>
      <c r="AI49" s="124"/>
    </row>
    <row r="50" spans="1:35" ht="15" customHeight="1" outlineLevel="1" x14ac:dyDescent="0.3">
      <c r="B50" s="867"/>
      <c r="C50" s="8" t="s">
        <v>632</v>
      </c>
      <c r="D50" s="850" t="s">
        <v>580</v>
      </c>
      <c r="E50" s="851"/>
      <c r="F50" s="851"/>
      <c r="G50" s="851"/>
      <c r="H50" s="851"/>
      <c r="I50" s="851"/>
      <c r="J50" s="851"/>
      <c r="K50" s="851"/>
      <c r="L50" s="851"/>
      <c r="M50" s="851"/>
      <c r="N50" s="94" t="s">
        <v>633</v>
      </c>
      <c r="O50" s="9" t="s">
        <v>114</v>
      </c>
      <c r="P50" s="149" t="s">
        <v>547</v>
      </c>
      <c r="Q50" s="10"/>
      <c r="R50" s="852"/>
      <c r="S50" s="853"/>
      <c r="T50" s="853"/>
      <c r="U50" s="853"/>
      <c r="V50" s="853"/>
      <c r="W50" s="853"/>
      <c r="X50" s="107"/>
      <c r="Y50" s="108"/>
    </row>
    <row r="51" spans="1:35" ht="15" customHeight="1" outlineLevel="1" x14ac:dyDescent="0.3">
      <c r="B51" s="867"/>
      <c r="C51" s="830" t="s">
        <v>582</v>
      </c>
      <c r="D51" s="831"/>
      <c r="E51" s="831"/>
      <c r="F51" s="832"/>
      <c r="G51" s="830" t="s">
        <v>583</v>
      </c>
      <c r="H51" s="831"/>
      <c r="I51" s="831"/>
      <c r="J51" s="831"/>
      <c r="K51" s="831"/>
      <c r="L51" s="831"/>
      <c r="M51" s="831"/>
      <c r="N51" s="127"/>
      <c r="O51" s="831" t="s">
        <v>584</v>
      </c>
      <c r="P51" s="831"/>
      <c r="Q51" s="833"/>
      <c r="R51" s="834"/>
      <c r="S51" s="835"/>
      <c r="T51" s="835"/>
      <c r="U51" s="835"/>
      <c r="V51" s="835"/>
      <c r="W51" s="835"/>
      <c r="X51" s="835"/>
      <c r="Y51" s="836"/>
    </row>
    <row r="52" spans="1:35" ht="15" customHeight="1" outlineLevel="1" x14ac:dyDescent="0.3">
      <c r="B52" s="867"/>
      <c r="C52" s="843" t="s">
        <v>124</v>
      </c>
      <c r="D52" s="586"/>
      <c r="E52" s="844" t="s">
        <v>3</v>
      </c>
      <c r="F52" s="845"/>
      <c r="G52" s="843" t="s">
        <v>585</v>
      </c>
      <c r="H52" s="586"/>
      <c r="I52" s="848"/>
      <c r="J52" s="848"/>
      <c r="K52" s="843" t="s">
        <v>586</v>
      </c>
      <c r="L52" s="586"/>
      <c r="M52" s="85"/>
      <c r="N52" s="88"/>
      <c r="O52" s="80"/>
      <c r="P52" s="152"/>
      <c r="Q52" s="81"/>
      <c r="R52" s="837"/>
      <c r="S52" s="838"/>
      <c r="T52" s="838"/>
      <c r="U52" s="838"/>
      <c r="V52" s="838"/>
      <c r="W52" s="838"/>
      <c r="X52" s="838"/>
      <c r="Y52" s="839"/>
    </row>
    <row r="53" spans="1:35" ht="15" customHeight="1" outlineLevel="1" x14ac:dyDescent="0.3">
      <c r="B53" s="867"/>
      <c r="C53" s="843" t="s">
        <v>125</v>
      </c>
      <c r="D53" s="586"/>
      <c r="E53" s="579"/>
      <c r="F53" s="580"/>
      <c r="G53" s="843" t="s">
        <v>587</v>
      </c>
      <c r="H53" s="586"/>
      <c r="I53" s="849"/>
      <c r="J53" s="849"/>
      <c r="K53" s="843" t="s">
        <v>588</v>
      </c>
      <c r="L53" s="586"/>
      <c r="M53" s="86"/>
      <c r="N53" s="89"/>
      <c r="O53" s="82"/>
      <c r="P53" s="153"/>
      <c r="Q53" s="83"/>
      <c r="R53" s="837"/>
      <c r="S53" s="838"/>
      <c r="T53" s="838"/>
      <c r="U53" s="838"/>
      <c r="V53" s="838"/>
      <c r="W53" s="838"/>
      <c r="X53" s="838"/>
      <c r="Y53" s="839"/>
    </row>
    <row r="54" spans="1:35" ht="15" customHeight="1" outlineLevel="1" thickBot="1" x14ac:dyDescent="0.35">
      <c r="B54" s="867"/>
      <c r="C54" s="846" t="s">
        <v>126</v>
      </c>
      <c r="D54" s="585"/>
      <c r="E54" s="596"/>
      <c r="F54" s="597"/>
      <c r="G54" s="846" t="s">
        <v>589</v>
      </c>
      <c r="H54" s="585"/>
      <c r="I54" s="847"/>
      <c r="J54" s="847"/>
      <c r="K54" s="846" t="s">
        <v>114</v>
      </c>
      <c r="L54" s="585"/>
      <c r="M54" s="87"/>
      <c r="N54" s="90"/>
      <c r="O54" s="104"/>
      <c r="P54" s="154"/>
      <c r="Q54" s="84"/>
      <c r="R54" s="840"/>
      <c r="S54" s="841"/>
      <c r="T54" s="841"/>
      <c r="U54" s="841"/>
      <c r="V54" s="841"/>
      <c r="W54" s="841"/>
      <c r="X54" s="841"/>
      <c r="Y54" s="842"/>
    </row>
    <row r="55" spans="1:35" ht="15" customHeight="1" thickBot="1" x14ac:dyDescent="0.4">
      <c r="B55" s="33">
        <v>3</v>
      </c>
      <c r="C55" s="102" t="s">
        <v>634</v>
      </c>
      <c r="D55" s="28"/>
      <c r="E55" s="28"/>
      <c r="F55" s="28"/>
      <c r="G55" s="28"/>
      <c r="H55" s="28"/>
      <c r="I55" s="28"/>
      <c r="J55" s="29"/>
      <c r="K55" s="29"/>
      <c r="L55" s="52"/>
      <c r="M55" s="91" t="str">
        <f>IF(COUNTIF(P56:Q73,"x")&lt;&gt;13,"",IF(COUNTIF(#REF!,"x")&gt;=4,"High",IF(COUNTIF(#REF!,"x")&gt;1,"Medium",IF(COUNTIF(#REF!,"x")&lt;=1,"Low",))))</f>
        <v/>
      </c>
      <c r="N55" s="128" t="s">
        <v>540</v>
      </c>
      <c r="O55" s="38" t="s">
        <v>42</v>
      </c>
      <c r="P55" s="155" t="s">
        <v>591</v>
      </c>
      <c r="Q55" s="100" t="s">
        <v>37</v>
      </c>
      <c r="R55" s="864" t="s">
        <v>542</v>
      </c>
      <c r="S55" s="865"/>
      <c r="T55" s="865"/>
      <c r="U55" s="865"/>
      <c r="V55" s="865"/>
      <c r="W55" s="865"/>
      <c r="X55" s="105" t="s">
        <v>40</v>
      </c>
      <c r="Y55" s="106" t="s">
        <v>543</v>
      </c>
    </row>
    <row r="56" spans="1:35" ht="15" customHeight="1" outlineLevel="1" x14ac:dyDescent="0.3">
      <c r="B56" s="866" t="s">
        <v>635</v>
      </c>
      <c r="C56" s="17" t="s">
        <v>255</v>
      </c>
      <c r="D56" s="869" t="s">
        <v>226</v>
      </c>
      <c r="E56" s="870"/>
      <c r="F56" s="870"/>
      <c r="G56" s="870"/>
      <c r="H56" s="870"/>
      <c r="I56" s="870"/>
      <c r="J56" s="870"/>
      <c r="K56" s="870"/>
      <c r="L56" s="870"/>
      <c r="M56" s="870"/>
      <c r="N56" s="129" t="s">
        <v>636</v>
      </c>
      <c r="O56" s="18" t="s">
        <v>637</v>
      </c>
      <c r="P56" s="148"/>
      <c r="Q56" s="19"/>
      <c r="R56" s="871"/>
      <c r="S56" s="878"/>
      <c r="T56" s="878"/>
      <c r="U56" s="878"/>
      <c r="V56" s="878"/>
      <c r="W56" s="878"/>
      <c r="X56" s="114"/>
      <c r="Y56" s="113"/>
    </row>
    <row r="57" spans="1:35" ht="15" customHeight="1" outlineLevel="1" x14ac:dyDescent="0.3">
      <c r="B57" s="867"/>
      <c r="C57" s="11" t="s">
        <v>261</v>
      </c>
      <c r="D57" s="850" t="s">
        <v>638</v>
      </c>
      <c r="E57" s="851"/>
      <c r="F57" s="851"/>
      <c r="G57" s="851"/>
      <c r="H57" s="851"/>
      <c r="I57" s="851"/>
      <c r="J57" s="851"/>
      <c r="K57" s="851"/>
      <c r="L57" s="851"/>
      <c r="M57" s="851"/>
      <c r="N57" s="96" t="s">
        <v>639</v>
      </c>
      <c r="O57" s="15" t="s">
        <v>562</v>
      </c>
      <c r="P57" s="151" t="s">
        <v>547</v>
      </c>
      <c r="Q57" s="16"/>
      <c r="R57" s="852"/>
      <c r="S57" s="853"/>
      <c r="T57" s="853"/>
      <c r="U57" s="853"/>
      <c r="V57" s="853"/>
      <c r="W57" s="853"/>
      <c r="X57" s="107"/>
      <c r="Y57" s="108"/>
    </row>
    <row r="58" spans="1:35" ht="15" customHeight="1" outlineLevel="1" x14ac:dyDescent="0.3">
      <c r="B58" s="867"/>
      <c r="C58" s="8" t="s">
        <v>267</v>
      </c>
      <c r="D58" s="850" t="s">
        <v>640</v>
      </c>
      <c r="E58" s="851"/>
      <c r="F58" s="851"/>
      <c r="G58" s="851"/>
      <c r="H58" s="851"/>
      <c r="I58" s="851"/>
      <c r="J58" s="851"/>
      <c r="K58" s="851"/>
      <c r="L58" s="851"/>
      <c r="M58" s="851"/>
      <c r="N58" s="96" t="s">
        <v>641</v>
      </c>
      <c r="O58" s="15" t="s">
        <v>562</v>
      </c>
      <c r="P58" s="151" t="s">
        <v>547</v>
      </c>
      <c r="Q58" s="16"/>
      <c r="R58" s="852"/>
      <c r="S58" s="853"/>
      <c r="T58" s="853"/>
      <c r="U58" s="853"/>
      <c r="V58" s="853"/>
      <c r="W58" s="853"/>
      <c r="X58" s="107"/>
      <c r="Y58" s="108"/>
    </row>
    <row r="59" spans="1:35" ht="15" customHeight="1" outlineLevel="1" x14ac:dyDescent="0.3">
      <c r="B59" s="867"/>
      <c r="C59" s="8" t="s">
        <v>274</v>
      </c>
      <c r="D59" s="850" t="s">
        <v>642</v>
      </c>
      <c r="E59" s="851"/>
      <c r="F59" s="851"/>
      <c r="G59" s="851"/>
      <c r="H59" s="851"/>
      <c r="I59" s="851"/>
      <c r="J59" s="851"/>
      <c r="K59" s="851"/>
      <c r="L59" s="851"/>
      <c r="M59" s="851"/>
      <c r="N59" s="94" t="s">
        <v>643</v>
      </c>
      <c r="O59" s="15" t="s">
        <v>562</v>
      </c>
      <c r="P59" s="151" t="s">
        <v>547</v>
      </c>
      <c r="Q59" s="14"/>
      <c r="R59" s="852"/>
      <c r="S59" s="853"/>
      <c r="T59" s="853"/>
      <c r="U59" s="853"/>
      <c r="V59" s="853"/>
      <c r="W59" s="853"/>
      <c r="X59" s="107"/>
      <c r="Y59" s="108"/>
    </row>
    <row r="60" spans="1:35" ht="15" customHeight="1" outlineLevel="1" x14ac:dyDescent="0.3">
      <c r="B60" s="867"/>
      <c r="C60" s="11" t="s">
        <v>281</v>
      </c>
      <c r="D60" s="850" t="s">
        <v>644</v>
      </c>
      <c r="E60" s="851"/>
      <c r="F60" s="851"/>
      <c r="G60" s="851"/>
      <c r="H60" s="851"/>
      <c r="I60" s="851"/>
      <c r="J60" s="851"/>
      <c r="K60" s="851"/>
      <c r="L60" s="851"/>
      <c r="M60" s="851"/>
      <c r="N60" s="96" t="s">
        <v>645</v>
      </c>
      <c r="O60" s="15" t="s">
        <v>204</v>
      </c>
      <c r="P60" s="151"/>
      <c r="Q60" s="16"/>
      <c r="R60" s="852"/>
      <c r="S60" s="859"/>
      <c r="T60" s="859"/>
      <c r="U60" s="859"/>
      <c r="V60" s="859"/>
      <c r="W60" s="859"/>
      <c r="X60" s="107"/>
      <c r="Y60" s="108"/>
    </row>
    <row r="61" spans="1:35" s="125" customFormat="1" ht="15" customHeight="1" outlineLevel="1" x14ac:dyDescent="0.3">
      <c r="A61" s="78"/>
      <c r="B61" s="867"/>
      <c r="C61" s="8" t="s">
        <v>290</v>
      </c>
      <c r="D61" s="850" t="s">
        <v>646</v>
      </c>
      <c r="E61" s="851"/>
      <c r="F61" s="851"/>
      <c r="G61" s="851"/>
      <c r="H61" s="851"/>
      <c r="I61" s="851"/>
      <c r="J61" s="851"/>
      <c r="K61" s="851"/>
      <c r="L61" s="851"/>
      <c r="M61" s="851"/>
      <c r="N61" s="96" t="s">
        <v>647</v>
      </c>
      <c r="O61" s="15" t="s">
        <v>204</v>
      </c>
      <c r="P61" s="157"/>
      <c r="Q61" s="79"/>
      <c r="R61" s="874"/>
      <c r="S61" s="875"/>
      <c r="T61" s="875"/>
      <c r="U61" s="875"/>
      <c r="V61" s="875"/>
      <c r="W61" s="875"/>
      <c r="X61" s="115"/>
      <c r="Y61" s="116"/>
      <c r="Z61" s="78"/>
    </row>
    <row r="62" spans="1:35" s="125" customFormat="1" ht="15" customHeight="1" outlineLevel="1" x14ac:dyDescent="0.35">
      <c r="A62" s="78"/>
      <c r="B62" s="867"/>
      <c r="C62" s="11" t="s">
        <v>297</v>
      </c>
      <c r="D62" s="860" t="s">
        <v>648</v>
      </c>
      <c r="E62" s="861"/>
      <c r="F62" s="861"/>
      <c r="G62" s="861"/>
      <c r="H62" s="861"/>
      <c r="I62" s="861"/>
      <c r="J62" s="861"/>
      <c r="K62" s="861"/>
      <c r="L62" s="861"/>
      <c r="M62" s="861"/>
      <c r="N62" s="96" t="s">
        <v>649</v>
      </c>
      <c r="O62" s="15" t="s">
        <v>650</v>
      </c>
      <c r="P62" s="158"/>
      <c r="Q62" s="77"/>
      <c r="R62" s="876"/>
      <c r="S62" s="877"/>
      <c r="T62" s="877"/>
      <c r="U62" s="877"/>
      <c r="V62" s="877"/>
      <c r="W62" s="877"/>
      <c r="X62" s="117"/>
      <c r="Y62" s="118"/>
      <c r="Z62" s="78"/>
    </row>
    <row r="63" spans="1:35" ht="15" customHeight="1" outlineLevel="1" x14ac:dyDescent="0.3">
      <c r="B63" s="867"/>
      <c r="C63" s="8" t="s">
        <v>304</v>
      </c>
      <c r="D63" s="850" t="s">
        <v>651</v>
      </c>
      <c r="E63" s="851"/>
      <c r="F63" s="851"/>
      <c r="G63" s="851"/>
      <c r="H63" s="851"/>
      <c r="I63" s="851"/>
      <c r="J63" s="851"/>
      <c r="K63" s="851"/>
      <c r="L63" s="851"/>
      <c r="M63" s="851"/>
      <c r="N63" s="94" t="s">
        <v>652</v>
      </c>
      <c r="O63" s="9" t="s">
        <v>562</v>
      </c>
      <c r="P63" s="149" t="s">
        <v>547</v>
      </c>
      <c r="Q63" s="10"/>
      <c r="R63" s="852"/>
      <c r="S63" s="853"/>
      <c r="T63" s="853"/>
      <c r="U63" s="853"/>
      <c r="V63" s="853"/>
      <c r="W63" s="853"/>
      <c r="X63" s="107"/>
      <c r="Y63" s="108"/>
    </row>
    <row r="64" spans="1:35" ht="15" customHeight="1" outlineLevel="1" x14ac:dyDescent="0.3">
      <c r="B64" s="867"/>
      <c r="C64" s="11" t="s">
        <v>312</v>
      </c>
      <c r="D64" s="850" t="s">
        <v>653</v>
      </c>
      <c r="E64" s="851"/>
      <c r="F64" s="851"/>
      <c r="G64" s="851"/>
      <c r="H64" s="851"/>
      <c r="I64" s="851"/>
      <c r="J64" s="851"/>
      <c r="K64" s="851"/>
      <c r="L64" s="851"/>
      <c r="M64" s="851"/>
      <c r="N64" s="94" t="s">
        <v>654</v>
      </c>
      <c r="O64" s="9" t="s">
        <v>655</v>
      </c>
      <c r="P64" s="149"/>
      <c r="Q64" s="10"/>
      <c r="R64" s="852"/>
      <c r="S64" s="853"/>
      <c r="T64" s="853"/>
      <c r="U64" s="853"/>
      <c r="V64" s="853"/>
      <c r="W64" s="853"/>
      <c r="X64" s="107"/>
      <c r="Y64" s="108"/>
    </row>
    <row r="65" spans="2:35" ht="15" customHeight="1" outlineLevel="1" x14ac:dyDescent="0.3">
      <c r="B65" s="867"/>
      <c r="C65" s="8" t="s">
        <v>320</v>
      </c>
      <c r="D65" s="850" t="s">
        <v>656</v>
      </c>
      <c r="E65" s="851"/>
      <c r="F65" s="851"/>
      <c r="G65" s="851"/>
      <c r="H65" s="851"/>
      <c r="I65" s="851"/>
      <c r="J65" s="851"/>
      <c r="K65" s="851"/>
      <c r="L65" s="851"/>
      <c r="M65" s="851"/>
      <c r="N65" s="94" t="s">
        <v>657</v>
      </c>
      <c r="O65" s="9" t="s">
        <v>562</v>
      </c>
      <c r="P65" s="149" t="s">
        <v>547</v>
      </c>
      <c r="Q65" s="10"/>
      <c r="R65" s="852"/>
      <c r="S65" s="853"/>
      <c r="T65" s="853"/>
      <c r="U65" s="853"/>
      <c r="V65" s="853"/>
      <c r="W65" s="853"/>
      <c r="X65" s="107"/>
      <c r="Y65" s="108"/>
    </row>
    <row r="66" spans="2:35" ht="15" customHeight="1" outlineLevel="1" x14ac:dyDescent="0.3">
      <c r="B66" s="867"/>
      <c r="C66" s="11" t="s">
        <v>329</v>
      </c>
      <c r="D66" s="850" t="s">
        <v>658</v>
      </c>
      <c r="E66" s="851"/>
      <c r="F66" s="851"/>
      <c r="G66" s="851"/>
      <c r="H66" s="851"/>
      <c r="I66" s="851"/>
      <c r="J66" s="851"/>
      <c r="K66" s="851"/>
      <c r="L66" s="851"/>
      <c r="M66" s="851"/>
      <c r="N66" s="94" t="s">
        <v>659</v>
      </c>
      <c r="O66" s="9" t="s">
        <v>660</v>
      </c>
      <c r="P66" s="149" t="s">
        <v>547</v>
      </c>
      <c r="Q66" s="10"/>
      <c r="R66" s="852"/>
      <c r="S66" s="853"/>
      <c r="T66" s="853"/>
      <c r="U66" s="853"/>
      <c r="V66" s="853"/>
      <c r="W66" s="853"/>
      <c r="X66" s="107"/>
      <c r="Y66" s="108"/>
    </row>
    <row r="67" spans="2:35" ht="15" customHeight="1" outlineLevel="1" x14ac:dyDescent="0.3">
      <c r="B67" s="867"/>
      <c r="C67" s="8" t="s">
        <v>338</v>
      </c>
      <c r="D67" s="873" t="s">
        <v>661</v>
      </c>
      <c r="E67" s="851"/>
      <c r="F67" s="851"/>
      <c r="G67" s="851"/>
      <c r="H67" s="851"/>
      <c r="I67" s="851"/>
      <c r="J67" s="851"/>
      <c r="K67" s="851"/>
      <c r="L67" s="851"/>
      <c r="M67" s="851"/>
      <c r="N67" s="163" t="s">
        <v>662</v>
      </c>
      <c r="O67" s="9" t="s">
        <v>562</v>
      </c>
      <c r="P67" s="149" t="s">
        <v>547</v>
      </c>
      <c r="Q67" s="10"/>
      <c r="R67" s="852"/>
      <c r="S67" s="853"/>
      <c r="T67" s="853"/>
      <c r="U67" s="853"/>
      <c r="V67" s="853"/>
      <c r="W67" s="853"/>
      <c r="X67" s="107"/>
      <c r="Y67" s="108"/>
    </row>
    <row r="68" spans="2:35" ht="15" customHeight="1" outlineLevel="1" x14ac:dyDescent="0.3">
      <c r="B68" s="867"/>
      <c r="C68" s="11" t="s">
        <v>346</v>
      </c>
      <c r="D68" s="850" t="s">
        <v>663</v>
      </c>
      <c r="E68" s="851"/>
      <c r="F68" s="851"/>
      <c r="G68" s="851"/>
      <c r="H68" s="851"/>
      <c r="I68" s="851"/>
      <c r="J68" s="851"/>
      <c r="K68" s="851"/>
      <c r="L68" s="851"/>
      <c r="M68" s="851"/>
      <c r="N68" s="94" t="s">
        <v>664</v>
      </c>
      <c r="O68" s="9" t="s">
        <v>665</v>
      </c>
      <c r="P68" s="149"/>
      <c r="Q68" s="10"/>
      <c r="R68" s="852"/>
      <c r="S68" s="853"/>
      <c r="T68" s="853"/>
      <c r="U68" s="853"/>
      <c r="V68" s="853"/>
      <c r="W68" s="853"/>
      <c r="X68" s="107"/>
      <c r="Y68" s="108"/>
    </row>
    <row r="69" spans="2:35" ht="15" customHeight="1" outlineLevel="1" x14ac:dyDescent="0.3">
      <c r="B69" s="867"/>
      <c r="C69" s="8" t="s">
        <v>351</v>
      </c>
      <c r="D69" s="850" t="s">
        <v>666</v>
      </c>
      <c r="E69" s="851"/>
      <c r="F69" s="851"/>
      <c r="G69" s="851"/>
      <c r="H69" s="851"/>
      <c r="I69" s="851"/>
      <c r="J69" s="851"/>
      <c r="K69" s="851"/>
      <c r="L69" s="851"/>
      <c r="M69" s="851"/>
      <c r="N69" s="94" t="s">
        <v>667</v>
      </c>
      <c r="O69" s="9" t="s">
        <v>562</v>
      </c>
      <c r="P69" s="149" t="s">
        <v>547</v>
      </c>
      <c r="Q69" s="14"/>
      <c r="R69" s="852"/>
      <c r="S69" s="853"/>
      <c r="T69" s="853"/>
      <c r="U69" s="853"/>
      <c r="V69" s="853"/>
      <c r="W69" s="853"/>
      <c r="X69" s="107"/>
      <c r="Y69" s="108"/>
    </row>
    <row r="70" spans="2:35" ht="15" customHeight="1" outlineLevel="1" x14ac:dyDescent="0.3">
      <c r="B70" s="867"/>
      <c r="C70" s="11" t="s">
        <v>353</v>
      </c>
      <c r="D70" s="850" t="s">
        <v>668</v>
      </c>
      <c r="E70" s="851"/>
      <c r="F70" s="851"/>
      <c r="G70" s="851"/>
      <c r="H70" s="851"/>
      <c r="I70" s="851"/>
      <c r="J70" s="851"/>
      <c r="K70" s="851"/>
      <c r="L70" s="851"/>
      <c r="M70" s="851"/>
      <c r="N70" s="94" t="s">
        <v>669</v>
      </c>
      <c r="O70" s="9" t="s">
        <v>570</v>
      </c>
      <c r="P70" s="149" t="s">
        <v>547</v>
      </c>
      <c r="Q70" s="14"/>
      <c r="R70" s="852"/>
      <c r="S70" s="853"/>
      <c r="T70" s="853"/>
      <c r="U70" s="853"/>
      <c r="V70" s="853"/>
      <c r="W70" s="853"/>
      <c r="X70" s="107"/>
      <c r="Y70" s="108"/>
    </row>
    <row r="71" spans="2:35" ht="15" customHeight="1" outlineLevel="1" x14ac:dyDescent="0.3">
      <c r="B71" s="867"/>
      <c r="C71" s="8" t="s">
        <v>670</v>
      </c>
      <c r="D71" s="850" t="s">
        <v>230</v>
      </c>
      <c r="E71" s="851"/>
      <c r="F71" s="851"/>
      <c r="G71" s="851"/>
      <c r="H71" s="851"/>
      <c r="I71" s="851"/>
      <c r="J71" s="851"/>
      <c r="K71" s="851"/>
      <c r="L71" s="851"/>
      <c r="M71" s="851"/>
      <c r="N71" s="94" t="s">
        <v>627</v>
      </c>
      <c r="O71" s="9" t="s">
        <v>567</v>
      </c>
      <c r="P71" s="149" t="s">
        <v>547</v>
      </c>
      <c r="Q71" s="14"/>
      <c r="R71" s="852"/>
      <c r="S71" s="853"/>
      <c r="T71" s="853"/>
      <c r="U71" s="853"/>
      <c r="V71" s="853"/>
      <c r="W71" s="853"/>
      <c r="X71" s="107"/>
      <c r="Y71" s="108"/>
    </row>
    <row r="72" spans="2:35" ht="15" customHeight="1" outlineLevel="1" x14ac:dyDescent="0.3">
      <c r="B72" s="867"/>
      <c r="C72" s="11" t="s">
        <v>671</v>
      </c>
      <c r="D72" s="857" t="s">
        <v>577</v>
      </c>
      <c r="E72" s="858"/>
      <c r="F72" s="858"/>
      <c r="G72" s="858"/>
      <c r="H72" s="858"/>
      <c r="I72" s="858"/>
      <c r="J72" s="858"/>
      <c r="K72" s="858"/>
      <c r="L72" s="858"/>
      <c r="M72" s="858"/>
      <c r="N72" s="96" t="s">
        <v>578</v>
      </c>
      <c r="O72" s="9" t="s">
        <v>114</v>
      </c>
      <c r="P72" s="149" t="s">
        <v>547</v>
      </c>
      <c r="Q72" s="16"/>
      <c r="R72" s="852"/>
      <c r="S72" s="859"/>
      <c r="T72" s="859"/>
      <c r="U72" s="859"/>
      <c r="V72" s="859"/>
      <c r="W72" s="859"/>
      <c r="X72" s="110"/>
      <c r="Y72" s="111"/>
      <c r="Z72" s="122"/>
      <c r="AA72" s="124"/>
      <c r="AB72" s="124"/>
      <c r="AC72" s="124"/>
      <c r="AD72" s="124"/>
      <c r="AE72" s="124"/>
      <c r="AF72" s="124"/>
      <c r="AG72" s="124"/>
      <c r="AH72" s="124"/>
      <c r="AI72" s="124"/>
    </row>
    <row r="73" spans="2:35" ht="15" customHeight="1" outlineLevel="1" x14ac:dyDescent="0.3">
      <c r="B73" s="867"/>
      <c r="C73" s="8" t="s">
        <v>672</v>
      </c>
      <c r="D73" s="850" t="s">
        <v>580</v>
      </c>
      <c r="E73" s="851"/>
      <c r="F73" s="851"/>
      <c r="G73" s="851"/>
      <c r="H73" s="851"/>
      <c r="I73" s="851"/>
      <c r="J73" s="851"/>
      <c r="K73" s="851"/>
      <c r="L73" s="851"/>
      <c r="M73" s="851"/>
      <c r="N73" s="94" t="s">
        <v>633</v>
      </c>
      <c r="O73" s="9" t="s">
        <v>114</v>
      </c>
      <c r="P73" s="149" t="s">
        <v>547</v>
      </c>
      <c r="Q73" s="10"/>
      <c r="R73" s="852"/>
      <c r="S73" s="853"/>
      <c r="T73" s="853"/>
      <c r="U73" s="853"/>
      <c r="V73" s="853"/>
      <c r="W73" s="853"/>
      <c r="X73" s="107"/>
      <c r="Y73" s="108"/>
    </row>
    <row r="74" spans="2:35" ht="15" customHeight="1" outlineLevel="1" x14ac:dyDescent="0.3">
      <c r="B74" s="867"/>
      <c r="C74" s="830" t="s">
        <v>582</v>
      </c>
      <c r="D74" s="831"/>
      <c r="E74" s="831"/>
      <c r="F74" s="832"/>
      <c r="G74" s="830" t="s">
        <v>583</v>
      </c>
      <c r="H74" s="831"/>
      <c r="I74" s="831"/>
      <c r="J74" s="831"/>
      <c r="K74" s="831"/>
      <c r="L74" s="831"/>
      <c r="M74" s="831"/>
      <c r="N74" s="127"/>
      <c r="O74" s="831" t="s">
        <v>584</v>
      </c>
      <c r="P74" s="831"/>
      <c r="Q74" s="833"/>
      <c r="R74" s="834"/>
      <c r="S74" s="835"/>
      <c r="T74" s="835"/>
      <c r="U74" s="835"/>
      <c r="V74" s="835"/>
      <c r="W74" s="835"/>
      <c r="X74" s="835"/>
      <c r="Y74" s="836"/>
    </row>
    <row r="75" spans="2:35" ht="15" customHeight="1" outlineLevel="1" x14ac:dyDescent="0.3">
      <c r="B75" s="867"/>
      <c r="C75" s="843" t="s">
        <v>124</v>
      </c>
      <c r="D75" s="586"/>
      <c r="E75" s="844" t="s">
        <v>3</v>
      </c>
      <c r="F75" s="845"/>
      <c r="G75" s="843" t="s">
        <v>585</v>
      </c>
      <c r="H75" s="586"/>
      <c r="I75" s="848"/>
      <c r="J75" s="848"/>
      <c r="K75" s="843" t="s">
        <v>586</v>
      </c>
      <c r="L75" s="586"/>
      <c r="M75" s="85"/>
      <c r="N75" s="88"/>
      <c r="O75" s="80"/>
      <c r="P75" s="152"/>
      <c r="Q75" s="81"/>
      <c r="R75" s="837"/>
      <c r="S75" s="838"/>
      <c r="T75" s="838"/>
      <c r="U75" s="838"/>
      <c r="V75" s="838"/>
      <c r="W75" s="838"/>
      <c r="X75" s="838"/>
      <c r="Y75" s="839"/>
    </row>
    <row r="76" spans="2:35" ht="15" customHeight="1" outlineLevel="1" x14ac:dyDescent="0.3">
      <c r="B76" s="867"/>
      <c r="C76" s="843" t="s">
        <v>125</v>
      </c>
      <c r="D76" s="586"/>
      <c r="E76" s="579"/>
      <c r="F76" s="580"/>
      <c r="G76" s="843" t="s">
        <v>587</v>
      </c>
      <c r="H76" s="586"/>
      <c r="I76" s="849"/>
      <c r="J76" s="849"/>
      <c r="K76" s="843" t="s">
        <v>588</v>
      </c>
      <c r="L76" s="586"/>
      <c r="M76" s="86"/>
      <c r="N76" s="89"/>
      <c r="O76" s="82"/>
      <c r="P76" s="153"/>
      <c r="Q76" s="83"/>
      <c r="R76" s="837"/>
      <c r="S76" s="838"/>
      <c r="T76" s="838"/>
      <c r="U76" s="838"/>
      <c r="V76" s="838"/>
      <c r="W76" s="838"/>
      <c r="X76" s="838"/>
      <c r="Y76" s="839"/>
    </row>
    <row r="77" spans="2:35" ht="15" customHeight="1" outlineLevel="1" thickBot="1" x14ac:dyDescent="0.35">
      <c r="B77" s="868"/>
      <c r="C77" s="846" t="s">
        <v>126</v>
      </c>
      <c r="D77" s="585"/>
      <c r="E77" s="596"/>
      <c r="F77" s="597"/>
      <c r="G77" s="846" t="s">
        <v>589</v>
      </c>
      <c r="H77" s="585"/>
      <c r="I77" s="847"/>
      <c r="J77" s="847"/>
      <c r="K77" s="846" t="s">
        <v>114</v>
      </c>
      <c r="L77" s="585"/>
      <c r="M77" s="87"/>
      <c r="N77" s="90"/>
      <c r="O77" s="104"/>
      <c r="P77" s="154"/>
      <c r="Q77" s="84"/>
      <c r="R77" s="840"/>
      <c r="S77" s="841"/>
      <c r="T77" s="841"/>
      <c r="U77" s="841"/>
      <c r="V77" s="841"/>
      <c r="W77" s="841"/>
      <c r="X77" s="841"/>
      <c r="Y77" s="842"/>
    </row>
    <row r="78" spans="2:35" ht="15" customHeight="1" thickBot="1" x14ac:dyDescent="0.4">
      <c r="B78" s="30" t="s">
        <v>359</v>
      </c>
      <c r="C78" s="101" t="s">
        <v>673</v>
      </c>
      <c r="D78" s="28"/>
      <c r="E78" s="28"/>
      <c r="F78" s="28"/>
      <c r="G78" s="28"/>
      <c r="H78" s="28"/>
      <c r="I78" s="28"/>
      <c r="J78" s="29"/>
      <c r="K78" s="29"/>
      <c r="L78" s="52"/>
      <c r="M78" s="91" t="str">
        <f>IF(COUNTIF(P79:Q91,"x")&lt;&gt;14,"",IF(COUNTIF(#REF!,"x")&gt;=4,"High",IF(COUNTIF(#REF!,"x")&gt;1,"Medium",IF(COUNTIF(#REF!,"x")&lt;=1,"Low",))))</f>
        <v/>
      </c>
      <c r="N78" s="126" t="s">
        <v>540</v>
      </c>
      <c r="O78" s="92" t="s">
        <v>42</v>
      </c>
      <c r="P78" s="155" t="s">
        <v>591</v>
      </c>
      <c r="Q78" s="100" t="s">
        <v>37</v>
      </c>
      <c r="R78" s="864" t="s">
        <v>542</v>
      </c>
      <c r="S78" s="865"/>
      <c r="T78" s="865"/>
      <c r="U78" s="865"/>
      <c r="V78" s="865"/>
      <c r="W78" s="865"/>
      <c r="X78" s="105" t="s">
        <v>40</v>
      </c>
      <c r="Y78" s="106" t="s">
        <v>543</v>
      </c>
    </row>
    <row r="79" spans="2:35" ht="15" customHeight="1" x14ac:dyDescent="0.3">
      <c r="B79" s="866" t="s">
        <v>674</v>
      </c>
      <c r="C79" s="119" t="s">
        <v>362</v>
      </c>
      <c r="D79" s="869" t="s">
        <v>675</v>
      </c>
      <c r="E79" s="870"/>
      <c r="F79" s="870"/>
      <c r="G79" s="870"/>
      <c r="H79" s="870"/>
      <c r="I79" s="870"/>
      <c r="J79" s="870"/>
      <c r="K79" s="870"/>
      <c r="L79" s="870"/>
      <c r="M79" s="870"/>
      <c r="N79" s="131" t="s">
        <v>654</v>
      </c>
      <c r="O79" s="18" t="s">
        <v>676</v>
      </c>
      <c r="P79" s="148"/>
      <c r="Q79" s="19"/>
      <c r="R79" s="871"/>
      <c r="S79" s="872"/>
      <c r="T79" s="872"/>
      <c r="U79" s="872"/>
      <c r="V79" s="872"/>
      <c r="W79" s="872"/>
      <c r="X79" s="112"/>
      <c r="Y79" s="113"/>
    </row>
    <row r="80" spans="2:35" ht="15" customHeight="1" x14ac:dyDescent="0.3">
      <c r="B80" s="867"/>
      <c r="C80" s="8" t="s">
        <v>371</v>
      </c>
      <c r="D80" s="850" t="s">
        <v>677</v>
      </c>
      <c r="E80" s="851"/>
      <c r="F80" s="851"/>
      <c r="G80" s="851"/>
      <c r="H80" s="851"/>
      <c r="I80" s="851"/>
      <c r="J80" s="851"/>
      <c r="K80" s="851"/>
      <c r="L80" s="851"/>
      <c r="M80" s="851"/>
      <c r="N80" s="93" t="s">
        <v>678</v>
      </c>
      <c r="O80" s="13" t="s">
        <v>676</v>
      </c>
      <c r="P80" s="150" t="s">
        <v>547</v>
      </c>
      <c r="Q80" s="14"/>
      <c r="R80" s="852"/>
      <c r="S80" s="853"/>
      <c r="T80" s="853"/>
      <c r="U80" s="853"/>
      <c r="V80" s="853"/>
      <c r="W80" s="853"/>
      <c r="X80" s="107"/>
      <c r="Y80" s="108"/>
    </row>
    <row r="81" spans="2:35" ht="15" customHeight="1" x14ac:dyDescent="0.3">
      <c r="B81" s="867"/>
      <c r="C81" s="8" t="s">
        <v>377</v>
      </c>
      <c r="D81" s="850" t="s">
        <v>679</v>
      </c>
      <c r="E81" s="851"/>
      <c r="F81" s="851"/>
      <c r="G81" s="851"/>
      <c r="H81" s="851"/>
      <c r="I81" s="851"/>
      <c r="J81" s="851"/>
      <c r="K81" s="851"/>
      <c r="L81" s="851"/>
      <c r="M81" s="851"/>
      <c r="N81" s="93" t="s">
        <v>680</v>
      </c>
      <c r="O81" s="13" t="s">
        <v>204</v>
      </c>
      <c r="P81" s="150"/>
      <c r="Q81" s="14"/>
      <c r="R81" s="852"/>
      <c r="S81" s="853"/>
      <c r="T81" s="853"/>
      <c r="U81" s="853"/>
      <c r="V81" s="853"/>
      <c r="W81" s="853"/>
      <c r="X81" s="107"/>
      <c r="Y81" s="108"/>
    </row>
    <row r="82" spans="2:35" ht="15" customHeight="1" x14ac:dyDescent="0.3">
      <c r="B82" s="867"/>
      <c r="C82" s="8" t="s">
        <v>681</v>
      </c>
      <c r="D82" s="850" t="s">
        <v>682</v>
      </c>
      <c r="E82" s="851"/>
      <c r="F82" s="851"/>
      <c r="G82" s="851"/>
      <c r="H82" s="851"/>
      <c r="I82" s="851"/>
      <c r="J82" s="851"/>
      <c r="K82" s="851"/>
      <c r="L82" s="851"/>
      <c r="M82" s="851"/>
      <c r="N82" s="94" t="s">
        <v>683</v>
      </c>
      <c r="O82" s="9" t="s">
        <v>684</v>
      </c>
      <c r="P82" s="149" t="s">
        <v>547</v>
      </c>
      <c r="Q82" s="14"/>
      <c r="R82" s="852"/>
      <c r="S82" s="853"/>
      <c r="T82" s="853"/>
      <c r="U82" s="853"/>
      <c r="V82" s="853"/>
      <c r="W82" s="853"/>
      <c r="X82" s="107"/>
      <c r="Y82" s="108"/>
    </row>
    <row r="83" spans="2:35" ht="15" customHeight="1" x14ac:dyDescent="0.3">
      <c r="B83" s="867"/>
      <c r="C83" s="8" t="s">
        <v>685</v>
      </c>
      <c r="D83" s="850" t="s">
        <v>686</v>
      </c>
      <c r="E83" s="851"/>
      <c r="F83" s="851"/>
      <c r="G83" s="851"/>
      <c r="H83" s="851"/>
      <c r="I83" s="851"/>
      <c r="J83" s="851"/>
      <c r="K83" s="851"/>
      <c r="L83" s="851"/>
      <c r="M83" s="851"/>
      <c r="N83" s="94" t="s">
        <v>687</v>
      </c>
      <c r="O83" s="9" t="s">
        <v>684</v>
      </c>
      <c r="P83" s="149" t="s">
        <v>547</v>
      </c>
      <c r="Q83" s="10"/>
      <c r="R83" s="852"/>
      <c r="S83" s="853"/>
      <c r="T83" s="853"/>
      <c r="U83" s="853"/>
      <c r="V83" s="853"/>
      <c r="W83" s="853"/>
      <c r="X83" s="107"/>
      <c r="Y83" s="108"/>
    </row>
    <row r="84" spans="2:35" ht="15" customHeight="1" x14ac:dyDescent="0.3">
      <c r="B84" s="867"/>
      <c r="C84" s="8" t="s">
        <v>688</v>
      </c>
      <c r="D84" s="850" t="s">
        <v>689</v>
      </c>
      <c r="E84" s="851"/>
      <c r="F84" s="851"/>
      <c r="G84" s="851"/>
      <c r="H84" s="851"/>
      <c r="I84" s="851"/>
      <c r="J84" s="851"/>
      <c r="K84" s="851"/>
      <c r="L84" s="851"/>
      <c r="M84" s="851"/>
      <c r="N84" s="94" t="s">
        <v>690</v>
      </c>
      <c r="O84" s="9" t="s">
        <v>562</v>
      </c>
      <c r="P84" s="149"/>
      <c r="Q84" s="10"/>
      <c r="R84" s="852"/>
      <c r="S84" s="853"/>
      <c r="T84" s="853"/>
      <c r="U84" s="853"/>
      <c r="V84" s="853"/>
      <c r="W84" s="853"/>
      <c r="X84" s="107"/>
      <c r="Y84" s="108"/>
    </row>
    <row r="85" spans="2:35" ht="15" customHeight="1" x14ac:dyDescent="0.3">
      <c r="B85" s="867"/>
      <c r="C85" s="8" t="s">
        <v>691</v>
      </c>
      <c r="D85" s="850" t="s">
        <v>692</v>
      </c>
      <c r="E85" s="851"/>
      <c r="F85" s="851"/>
      <c r="G85" s="851"/>
      <c r="H85" s="851"/>
      <c r="I85" s="851"/>
      <c r="J85" s="851"/>
      <c r="K85" s="851"/>
      <c r="L85" s="851"/>
      <c r="M85" s="851"/>
      <c r="N85" s="96" t="s">
        <v>693</v>
      </c>
      <c r="O85" s="15" t="s">
        <v>694</v>
      </c>
      <c r="P85" s="151"/>
      <c r="Q85" s="16"/>
      <c r="R85" s="852"/>
      <c r="S85" s="853"/>
      <c r="T85" s="853"/>
      <c r="U85" s="853"/>
      <c r="V85" s="853"/>
      <c r="W85" s="853"/>
      <c r="X85" s="107"/>
      <c r="Y85" s="108"/>
    </row>
    <row r="86" spans="2:35" ht="15" customHeight="1" x14ac:dyDescent="0.3">
      <c r="B86" s="867"/>
      <c r="C86" s="8" t="s">
        <v>695</v>
      </c>
      <c r="D86" s="854" t="s">
        <v>696</v>
      </c>
      <c r="E86" s="854"/>
      <c r="F86" s="854"/>
      <c r="G86" s="854"/>
      <c r="H86" s="854"/>
      <c r="I86" s="854"/>
      <c r="J86" s="854"/>
      <c r="K86" s="854"/>
      <c r="L86" s="854"/>
      <c r="M86" s="850"/>
      <c r="N86" s="96" t="s">
        <v>697</v>
      </c>
      <c r="O86" s="15" t="s">
        <v>204</v>
      </c>
      <c r="P86" s="151"/>
      <c r="Q86" s="49"/>
      <c r="R86" s="855"/>
      <c r="S86" s="856"/>
      <c r="T86" s="856"/>
      <c r="U86" s="856"/>
      <c r="V86" s="856"/>
      <c r="W86" s="856"/>
      <c r="X86" s="110"/>
      <c r="Y86" s="111"/>
    </row>
    <row r="87" spans="2:35" ht="15" customHeight="1" x14ac:dyDescent="0.3">
      <c r="B87" s="867"/>
      <c r="C87" s="8" t="s">
        <v>698</v>
      </c>
      <c r="D87" s="850" t="s">
        <v>699</v>
      </c>
      <c r="E87" s="851"/>
      <c r="F87" s="851"/>
      <c r="G87" s="851"/>
      <c r="H87" s="851"/>
      <c r="I87" s="851"/>
      <c r="J87" s="851"/>
      <c r="K87" s="851"/>
      <c r="L87" s="851"/>
      <c r="M87" s="851"/>
      <c r="N87" s="94" t="s">
        <v>700</v>
      </c>
      <c r="O87" s="9" t="s">
        <v>684</v>
      </c>
      <c r="P87" s="149"/>
      <c r="Q87" s="10"/>
      <c r="R87" s="852"/>
      <c r="S87" s="853"/>
      <c r="T87" s="853"/>
      <c r="U87" s="853"/>
      <c r="V87" s="853"/>
      <c r="W87" s="853"/>
      <c r="X87" s="107"/>
      <c r="Y87" s="108"/>
    </row>
    <row r="88" spans="2:35" ht="15" customHeight="1" x14ac:dyDescent="0.3">
      <c r="B88" s="867"/>
      <c r="C88" s="8" t="s">
        <v>701</v>
      </c>
      <c r="D88" s="850" t="s">
        <v>702</v>
      </c>
      <c r="E88" s="851"/>
      <c r="F88" s="851"/>
      <c r="G88" s="851"/>
      <c r="H88" s="851"/>
      <c r="I88" s="851"/>
      <c r="J88" s="851"/>
      <c r="K88" s="851"/>
      <c r="L88" s="851"/>
      <c r="M88" s="851"/>
      <c r="N88" s="94" t="s">
        <v>703</v>
      </c>
      <c r="O88" s="9" t="s">
        <v>704</v>
      </c>
      <c r="P88" s="149" t="s">
        <v>547</v>
      </c>
      <c r="Q88" s="16"/>
      <c r="R88" s="852"/>
      <c r="S88" s="853"/>
      <c r="T88" s="853"/>
      <c r="U88" s="853"/>
      <c r="V88" s="853"/>
      <c r="W88" s="853"/>
      <c r="X88" s="107"/>
      <c r="Y88" s="108"/>
    </row>
    <row r="89" spans="2:35" ht="15" customHeight="1" x14ac:dyDescent="0.3">
      <c r="B89" s="867"/>
      <c r="C89" s="8" t="s">
        <v>705</v>
      </c>
      <c r="D89" s="850" t="s">
        <v>230</v>
      </c>
      <c r="E89" s="851"/>
      <c r="F89" s="851"/>
      <c r="G89" s="851"/>
      <c r="H89" s="851"/>
      <c r="I89" s="851"/>
      <c r="J89" s="851"/>
      <c r="K89" s="851"/>
      <c r="L89" s="851"/>
      <c r="M89" s="851"/>
      <c r="N89" s="94" t="s">
        <v>627</v>
      </c>
      <c r="O89" s="9" t="s">
        <v>567</v>
      </c>
      <c r="P89" s="149" t="s">
        <v>547</v>
      </c>
      <c r="Q89" s="49"/>
      <c r="R89" s="852"/>
      <c r="S89" s="853"/>
      <c r="T89" s="853"/>
      <c r="U89" s="853"/>
      <c r="V89" s="853"/>
      <c r="W89" s="853"/>
      <c r="X89" s="107"/>
      <c r="Y89" s="108"/>
    </row>
    <row r="90" spans="2:35" ht="15" customHeight="1" x14ac:dyDescent="0.3">
      <c r="B90" s="867"/>
      <c r="C90" s="11" t="s">
        <v>706</v>
      </c>
      <c r="D90" s="857" t="s">
        <v>577</v>
      </c>
      <c r="E90" s="858"/>
      <c r="F90" s="858"/>
      <c r="G90" s="858"/>
      <c r="H90" s="858"/>
      <c r="I90" s="858"/>
      <c r="J90" s="858"/>
      <c r="K90" s="858"/>
      <c r="L90" s="858"/>
      <c r="M90" s="858"/>
      <c r="N90" s="96" t="s">
        <v>578</v>
      </c>
      <c r="O90" s="9" t="s">
        <v>114</v>
      </c>
      <c r="P90" s="149" t="s">
        <v>547</v>
      </c>
      <c r="Q90" s="16"/>
      <c r="R90" s="852"/>
      <c r="S90" s="859"/>
      <c r="T90" s="859"/>
      <c r="U90" s="859"/>
      <c r="V90" s="859"/>
      <c r="W90" s="859"/>
      <c r="X90" s="110"/>
      <c r="Y90" s="111"/>
      <c r="Z90" s="122"/>
      <c r="AA90" s="124"/>
      <c r="AB90" s="124"/>
      <c r="AC90" s="124"/>
      <c r="AD90" s="124"/>
      <c r="AE90" s="124"/>
      <c r="AF90" s="124"/>
      <c r="AG90" s="124"/>
      <c r="AH90" s="124"/>
      <c r="AI90" s="124"/>
    </row>
    <row r="91" spans="2:35" ht="15" customHeight="1" x14ac:dyDescent="0.35">
      <c r="B91" s="867"/>
      <c r="C91" s="8" t="s">
        <v>707</v>
      </c>
      <c r="D91" s="860" t="s">
        <v>580</v>
      </c>
      <c r="E91" s="861"/>
      <c r="F91" s="861"/>
      <c r="G91" s="861"/>
      <c r="H91" s="861"/>
      <c r="I91" s="861"/>
      <c r="J91" s="861"/>
      <c r="K91" s="861"/>
      <c r="L91" s="861"/>
      <c r="M91" s="861"/>
      <c r="N91" s="132" t="s">
        <v>633</v>
      </c>
      <c r="O91" s="99" t="s">
        <v>114</v>
      </c>
      <c r="P91" s="159" t="s">
        <v>547</v>
      </c>
      <c r="Q91" s="49"/>
      <c r="R91" s="862"/>
      <c r="S91" s="863"/>
      <c r="T91" s="863"/>
      <c r="U91" s="863"/>
      <c r="V91" s="863"/>
      <c r="W91" s="863"/>
      <c r="X91" s="109"/>
      <c r="Y91" s="108"/>
    </row>
    <row r="92" spans="2:35" ht="15" customHeight="1" x14ac:dyDescent="0.3">
      <c r="B92" s="867"/>
      <c r="C92" s="830" t="s">
        <v>582</v>
      </c>
      <c r="D92" s="831"/>
      <c r="E92" s="831"/>
      <c r="F92" s="832"/>
      <c r="G92" s="830" t="s">
        <v>583</v>
      </c>
      <c r="H92" s="831"/>
      <c r="I92" s="831"/>
      <c r="J92" s="831"/>
      <c r="K92" s="831"/>
      <c r="L92" s="831"/>
      <c r="M92" s="831"/>
      <c r="N92" s="97"/>
      <c r="O92" s="831" t="s">
        <v>584</v>
      </c>
      <c r="P92" s="831"/>
      <c r="Q92" s="833"/>
      <c r="R92" s="834"/>
      <c r="S92" s="835"/>
      <c r="T92" s="835"/>
      <c r="U92" s="835"/>
      <c r="V92" s="835"/>
      <c r="W92" s="835"/>
      <c r="X92" s="835"/>
      <c r="Y92" s="836"/>
    </row>
    <row r="93" spans="2:35" ht="15" customHeight="1" x14ac:dyDescent="0.3">
      <c r="B93" s="867"/>
      <c r="C93" s="843" t="s">
        <v>124</v>
      </c>
      <c r="D93" s="586"/>
      <c r="E93" s="844" t="s">
        <v>3</v>
      </c>
      <c r="F93" s="845"/>
      <c r="G93" s="843" t="s">
        <v>585</v>
      </c>
      <c r="H93" s="586"/>
      <c r="I93" s="848"/>
      <c r="J93" s="848"/>
      <c r="K93" s="843" t="s">
        <v>586</v>
      </c>
      <c r="L93" s="586"/>
      <c r="M93" s="85"/>
      <c r="N93" s="88"/>
      <c r="O93" s="80"/>
      <c r="P93" s="152"/>
      <c r="Q93" s="81"/>
      <c r="R93" s="837"/>
      <c r="S93" s="838"/>
      <c r="T93" s="838"/>
      <c r="U93" s="838"/>
      <c r="V93" s="838"/>
      <c r="W93" s="838"/>
      <c r="X93" s="838"/>
      <c r="Y93" s="839"/>
    </row>
    <row r="94" spans="2:35" ht="15" customHeight="1" x14ac:dyDescent="0.3">
      <c r="B94" s="867"/>
      <c r="C94" s="843" t="s">
        <v>125</v>
      </c>
      <c r="D94" s="586"/>
      <c r="E94" s="579"/>
      <c r="F94" s="580"/>
      <c r="G94" s="843" t="s">
        <v>587</v>
      </c>
      <c r="H94" s="586"/>
      <c r="I94" s="849"/>
      <c r="J94" s="849"/>
      <c r="K94" s="843" t="s">
        <v>588</v>
      </c>
      <c r="L94" s="586"/>
      <c r="M94" s="86"/>
      <c r="N94" s="89"/>
      <c r="O94" s="82"/>
      <c r="P94" s="153"/>
      <c r="Q94" s="83"/>
      <c r="R94" s="837"/>
      <c r="S94" s="838"/>
      <c r="T94" s="838"/>
      <c r="U94" s="838"/>
      <c r="V94" s="838"/>
      <c r="W94" s="838"/>
      <c r="X94" s="838"/>
      <c r="Y94" s="839"/>
    </row>
    <row r="95" spans="2:35" ht="15" customHeight="1" thickBot="1" x14ac:dyDescent="0.35">
      <c r="B95" s="868"/>
      <c r="C95" s="846" t="s">
        <v>126</v>
      </c>
      <c r="D95" s="585"/>
      <c r="E95" s="596"/>
      <c r="F95" s="597"/>
      <c r="G95" s="846" t="s">
        <v>589</v>
      </c>
      <c r="H95" s="585"/>
      <c r="I95" s="847"/>
      <c r="J95" s="847"/>
      <c r="K95" s="846" t="s">
        <v>114</v>
      </c>
      <c r="L95" s="585"/>
      <c r="M95" s="87"/>
      <c r="N95" s="90"/>
      <c r="O95" s="104"/>
      <c r="P95" s="154"/>
      <c r="Q95" s="84"/>
      <c r="R95" s="840"/>
      <c r="S95" s="841"/>
      <c r="T95" s="841"/>
      <c r="U95" s="841"/>
      <c r="V95" s="841"/>
      <c r="W95" s="841"/>
      <c r="X95" s="841"/>
      <c r="Y95" s="842"/>
    </row>
    <row r="96" spans="2:35" ht="15" customHeight="1" x14ac:dyDescent="0.3"/>
  </sheetData>
  <mergeCells count="218">
    <mergeCell ref="E3:P4"/>
    <mergeCell ref="T3:U3"/>
    <mergeCell ref="U4:W4"/>
    <mergeCell ref="R6:Y6"/>
    <mergeCell ref="R7:Y12"/>
    <mergeCell ref="F9:I9"/>
    <mergeCell ref="F10:I10"/>
    <mergeCell ref="F11:I11"/>
    <mergeCell ref="D18:M18"/>
    <mergeCell ref="R18:W18"/>
    <mergeCell ref="D19:M19"/>
    <mergeCell ref="R19:W19"/>
    <mergeCell ref="D20:M20"/>
    <mergeCell ref="R20:W20"/>
    <mergeCell ref="R13:W13"/>
    <mergeCell ref="B14:B31"/>
    <mergeCell ref="D14:M14"/>
    <mergeCell ref="R14:W14"/>
    <mergeCell ref="D15:M15"/>
    <mergeCell ref="R15:W15"/>
    <mergeCell ref="D16:M16"/>
    <mergeCell ref="R16:W16"/>
    <mergeCell ref="D17:M17"/>
    <mergeCell ref="R17:W17"/>
    <mergeCell ref="D24:M24"/>
    <mergeCell ref="R24:W24"/>
    <mergeCell ref="D25:M25"/>
    <mergeCell ref="R25:W25"/>
    <mergeCell ref="D26:M26"/>
    <mergeCell ref="R26:W26"/>
    <mergeCell ref="D21:M21"/>
    <mergeCell ref="R21:W21"/>
    <mergeCell ref="D22:M22"/>
    <mergeCell ref="R22:W22"/>
    <mergeCell ref="D23:M23"/>
    <mergeCell ref="R23:W23"/>
    <mergeCell ref="D27:M27"/>
    <mergeCell ref="R27:W27"/>
    <mergeCell ref="C28:F28"/>
    <mergeCell ref="G28:M28"/>
    <mergeCell ref="O28:Q28"/>
    <mergeCell ref="R28:Y31"/>
    <mergeCell ref="C29:D29"/>
    <mergeCell ref="E29:F29"/>
    <mergeCell ref="G29:H29"/>
    <mergeCell ref="I29:J29"/>
    <mergeCell ref="C31:D31"/>
    <mergeCell ref="E31:F31"/>
    <mergeCell ref="G31:H31"/>
    <mergeCell ref="I31:J31"/>
    <mergeCell ref="K31:L31"/>
    <mergeCell ref="R32:W32"/>
    <mergeCell ref="K29:L29"/>
    <mergeCell ref="C30:D30"/>
    <mergeCell ref="E30:F30"/>
    <mergeCell ref="G30:H30"/>
    <mergeCell ref="I30:J30"/>
    <mergeCell ref="K30:L30"/>
    <mergeCell ref="B33:B54"/>
    <mergeCell ref="D33:M33"/>
    <mergeCell ref="R33:W33"/>
    <mergeCell ref="D34:M34"/>
    <mergeCell ref="R34:W34"/>
    <mergeCell ref="D35:M35"/>
    <mergeCell ref="R35:W35"/>
    <mergeCell ref="D36:M36"/>
    <mergeCell ref="R36:W36"/>
    <mergeCell ref="D37:M37"/>
    <mergeCell ref="D41:M41"/>
    <mergeCell ref="R41:W41"/>
    <mergeCell ref="D42:M42"/>
    <mergeCell ref="R42:W42"/>
    <mergeCell ref="D43:M43"/>
    <mergeCell ref="R43:W43"/>
    <mergeCell ref="R37:W37"/>
    <mergeCell ref="D38:M38"/>
    <mergeCell ref="R38:W38"/>
    <mergeCell ref="D39:M39"/>
    <mergeCell ref="R39:W39"/>
    <mergeCell ref="D40:M40"/>
    <mergeCell ref="R40:W40"/>
    <mergeCell ref="D47:M47"/>
    <mergeCell ref="R47:W47"/>
    <mergeCell ref="D48:M48"/>
    <mergeCell ref="R48:W48"/>
    <mergeCell ref="D49:M49"/>
    <mergeCell ref="R49:W49"/>
    <mergeCell ref="D44:M44"/>
    <mergeCell ref="R44:W44"/>
    <mergeCell ref="D45:M45"/>
    <mergeCell ref="R45:W45"/>
    <mergeCell ref="D46:M46"/>
    <mergeCell ref="R46:W46"/>
    <mergeCell ref="D50:M50"/>
    <mergeCell ref="R50:W50"/>
    <mergeCell ref="C51:F51"/>
    <mergeCell ref="G51:M51"/>
    <mergeCell ref="O51:Q51"/>
    <mergeCell ref="R51:Y54"/>
    <mergeCell ref="C52:D52"/>
    <mergeCell ref="E52:F52"/>
    <mergeCell ref="G52:H52"/>
    <mergeCell ref="I52:J52"/>
    <mergeCell ref="C54:D54"/>
    <mergeCell ref="E54:F54"/>
    <mergeCell ref="G54:H54"/>
    <mergeCell ref="I54:J54"/>
    <mergeCell ref="K54:L54"/>
    <mergeCell ref="R55:W55"/>
    <mergeCell ref="K52:L52"/>
    <mergeCell ref="C53:D53"/>
    <mergeCell ref="E53:F53"/>
    <mergeCell ref="G53:H53"/>
    <mergeCell ref="I53:J53"/>
    <mergeCell ref="K53:L53"/>
    <mergeCell ref="B56:B77"/>
    <mergeCell ref="D56:M56"/>
    <mergeCell ref="R56:W56"/>
    <mergeCell ref="D57:M57"/>
    <mergeCell ref="R57:W57"/>
    <mergeCell ref="D58:M58"/>
    <mergeCell ref="R58:W58"/>
    <mergeCell ref="D59:M59"/>
    <mergeCell ref="R59:W59"/>
    <mergeCell ref="D60:M60"/>
    <mergeCell ref="D64:M64"/>
    <mergeCell ref="R64:W64"/>
    <mergeCell ref="D65:M65"/>
    <mergeCell ref="R65:W65"/>
    <mergeCell ref="D66:M66"/>
    <mergeCell ref="R66:W66"/>
    <mergeCell ref="R60:W60"/>
    <mergeCell ref="D61:M61"/>
    <mergeCell ref="R61:W61"/>
    <mergeCell ref="D62:M62"/>
    <mergeCell ref="R62:W62"/>
    <mergeCell ref="D63:M63"/>
    <mergeCell ref="R63:W63"/>
    <mergeCell ref="D70:M70"/>
    <mergeCell ref="R70:W70"/>
    <mergeCell ref="D71:M71"/>
    <mergeCell ref="R71:W71"/>
    <mergeCell ref="D72:M72"/>
    <mergeCell ref="R72:W72"/>
    <mergeCell ref="D67:M67"/>
    <mergeCell ref="R67:W67"/>
    <mergeCell ref="D68:M68"/>
    <mergeCell ref="R68:W68"/>
    <mergeCell ref="D69:M69"/>
    <mergeCell ref="R69:W69"/>
    <mergeCell ref="D73:M73"/>
    <mergeCell ref="R73:W73"/>
    <mergeCell ref="C74:F74"/>
    <mergeCell ref="G74:M74"/>
    <mergeCell ref="O74:Q74"/>
    <mergeCell ref="R74:Y77"/>
    <mergeCell ref="C75:D75"/>
    <mergeCell ref="E75:F75"/>
    <mergeCell ref="G75:H75"/>
    <mergeCell ref="I75:J75"/>
    <mergeCell ref="C77:D77"/>
    <mergeCell ref="E77:F77"/>
    <mergeCell ref="G77:H77"/>
    <mergeCell ref="I77:J77"/>
    <mergeCell ref="K77:L77"/>
    <mergeCell ref="R78:W78"/>
    <mergeCell ref="K75:L75"/>
    <mergeCell ref="C76:D76"/>
    <mergeCell ref="E76:F76"/>
    <mergeCell ref="G76:H76"/>
    <mergeCell ref="I76:J76"/>
    <mergeCell ref="K76:L76"/>
    <mergeCell ref="B79:B95"/>
    <mergeCell ref="D79:M79"/>
    <mergeCell ref="R79:W79"/>
    <mergeCell ref="D80:M80"/>
    <mergeCell ref="R80:W80"/>
    <mergeCell ref="D81:M81"/>
    <mergeCell ref="R81:W81"/>
    <mergeCell ref="D82:M82"/>
    <mergeCell ref="R82:W82"/>
    <mergeCell ref="D83:M83"/>
    <mergeCell ref="D87:M87"/>
    <mergeCell ref="R87:W87"/>
    <mergeCell ref="D88:M88"/>
    <mergeCell ref="R88:W88"/>
    <mergeCell ref="D89:M89"/>
    <mergeCell ref="R89:W89"/>
    <mergeCell ref="R83:W83"/>
    <mergeCell ref="D84:M84"/>
    <mergeCell ref="R84:W84"/>
    <mergeCell ref="D85:M85"/>
    <mergeCell ref="R85:W85"/>
    <mergeCell ref="D86:M86"/>
    <mergeCell ref="R86:W86"/>
    <mergeCell ref="D90:M90"/>
    <mergeCell ref="R90:W90"/>
    <mergeCell ref="D91:M91"/>
    <mergeCell ref="R91:W91"/>
    <mergeCell ref="C92:F92"/>
    <mergeCell ref="G92:M92"/>
    <mergeCell ref="O92:Q92"/>
    <mergeCell ref="R92:Y95"/>
    <mergeCell ref="C93:D93"/>
    <mergeCell ref="E93:F93"/>
    <mergeCell ref="C95:D95"/>
    <mergeCell ref="E95:F95"/>
    <mergeCell ref="G95:H95"/>
    <mergeCell ref="I95:J95"/>
    <mergeCell ref="K95:L95"/>
    <mergeCell ref="G93:H93"/>
    <mergeCell ref="I93:J93"/>
    <mergeCell ref="K93:L93"/>
    <mergeCell ref="C94:D94"/>
    <mergeCell ref="E94:F94"/>
    <mergeCell ref="G94:H94"/>
    <mergeCell ref="I94:J94"/>
    <mergeCell ref="K94:L94"/>
  </mergeCells>
  <conditionalFormatting sqref="C24:Y25 C33:Y33 C36:Y36 C38:Y38 C43:Y44 C56:Y56 C60:Y62 C64:Y64 C68:Y68 C79:Y79 C81:Y81 C84:Y87">
    <cfRule type="expression" dxfId="7" priority="1" stopIfTrue="1">
      <formula>($M$10="Non-Automotive")</formula>
    </cfRule>
  </conditionalFormatting>
  <dataValidations count="5">
    <dataValidation type="list" allowBlank="1" showInputMessage="1" showErrorMessage="1" sqref="Q14:Q27 Q79:Q91 Q33:Q50 Q56:Q73" xr:uid="{CC22E87B-7296-427B-99E1-485D80DACFD1}">
      <formula1>$AB$3:$AB$6</formula1>
    </dataValidation>
    <dataValidation type="list" allowBlank="1" showInputMessage="1" showErrorMessage="1" sqref="E75 E29 E52 E93" xr:uid="{FED0CA1F-405E-4B33-AF19-020392538FAB}">
      <formula1>$AA$3:$AA$5</formula1>
    </dataValidation>
    <dataValidation type="list" allowBlank="1" showInputMessage="1" showErrorMessage="1" sqref="M10" xr:uid="{24EE91A6-A6CA-4B40-AD76-B5F6CEFD4DF1}">
      <formula1>$AC$3:$AC$4</formula1>
    </dataValidation>
    <dataValidation allowBlank="1" showInputMessage="1" showErrorMessage="1" sqref="M11 Q2:Q13 Q28:Q32 Q51:Q55 Q74:Q78 Q92:Q1048576" xr:uid="{61A7570A-DC7A-4F4A-AA5A-4D24E7395BD8}"/>
    <dataValidation type="list" allowBlank="1" showInputMessage="1" showErrorMessage="1" sqref="F10:I11" xr:uid="{5599899C-7536-4CC6-AB3D-4F226501518A}">
      <formula1>$AG$4:$AG$8</formula1>
    </dataValidation>
  </dataValidations>
  <hyperlinks>
    <hyperlink ref="D85" r:id="rId1" xr:uid="{B44C75EB-19FF-4E4D-86BC-377181BD4A2C}"/>
  </hyperlinks>
  <pageMargins left="0.23622047244094491" right="0.23622047244094491" top="0.74803149606299213" bottom="0.74803149606299213" header="0.31496062992125984" footer="0.31496062992125984"/>
  <pageSetup paperSize="9" scale="24" fitToHeight="0" orientation="portrait" r:id="rId2"/>
  <headerFooter>
    <oddFooter>&amp;L&amp;F&amp;C&amp;P / &amp;N&amp;R&amp;D &amp;T</oddFooter>
  </headerFooter>
  <rowBreaks count="1" manualBreakCount="1">
    <brk id="54" min="1" max="25" man="1"/>
  </rowBreaks>
  <drawing r:id="rId3"/>
  <extLst>
    <ext xmlns:x14="http://schemas.microsoft.com/office/spreadsheetml/2009/9/main" uri="{78C0D931-6437-407d-A8EE-F0AAD7539E65}">
      <x14:conditionalFormattings>
        <x14:conditionalFormatting xmlns:xm="http://schemas.microsoft.com/office/excel/2006/main">
          <x14:cfRule type="containsText" priority="6" stopIfTrue="1" operator="containsText" id="{87BED7D6-A191-4BD2-AA09-5EB7A4257065}">
            <xm:f>NOT(ISERROR(SEARCH($AA$4,E29)))</xm:f>
            <xm:f>$AA$4</xm:f>
            <x14:dxf>
              <fill>
                <patternFill>
                  <bgColor rgb="FFFFFF99"/>
                </patternFill>
              </fill>
            </x14:dxf>
          </x14:cfRule>
          <x14:cfRule type="containsText" priority="7" stopIfTrue="1" operator="containsText" id="{ADEDF9FA-64D5-4437-A4EA-E79FA6253E51}">
            <xm:f>NOT(ISERROR(SEARCH($AA$3,E29)))</xm:f>
            <xm:f>$AA$3</xm:f>
            <x14:dxf>
              <fill>
                <patternFill>
                  <bgColor rgb="FFFFCCCC"/>
                </patternFill>
              </fill>
            </x14:dxf>
          </x14:cfRule>
          <x14:cfRule type="containsText" priority="8" stopIfTrue="1" operator="containsText" id="{953A118A-331C-44EB-8BF3-A5962F476947}">
            <xm:f>NOT(ISERROR(SEARCH($AA$5,E29)))</xm:f>
            <xm:f>$AA$5</xm:f>
            <x14:dxf>
              <fill>
                <patternFill>
                  <bgColor theme="9" tint="0.39994506668294322"/>
                </patternFill>
              </fill>
            </x14:dxf>
          </x14:cfRule>
          <xm:sqref>E29 E52 E75 E93</xm:sqref>
        </x14:conditionalFormatting>
        <x14:conditionalFormatting xmlns:xm="http://schemas.microsoft.com/office/excel/2006/main">
          <x14:cfRule type="containsText" priority="2" stopIfTrue="1" operator="containsText" id="{C0DD8BFB-965A-4B78-9394-E923B2C5895E}">
            <xm:f>NOT(ISERROR(SEARCH($AB$6,Q14)))</xm:f>
            <xm:f>$AB$6</xm:f>
            <x14:dxf>
              <fill>
                <patternFill patternType="solid">
                  <bgColor theme="0" tint="-0.14999847407452621"/>
                </patternFill>
              </fill>
            </x14:dxf>
          </x14:cfRule>
          <x14:cfRule type="containsText" priority="3" stopIfTrue="1" operator="containsText" id="{9258E74E-AD26-4160-AB19-CF8D2AD09963}">
            <xm:f>NOT(ISERROR(SEARCH($AB$4,Q14)))</xm:f>
            <xm:f>$AB$4</xm:f>
            <x14:dxf>
              <fill>
                <patternFill>
                  <bgColor rgb="FFFFFF99"/>
                </patternFill>
              </fill>
            </x14:dxf>
          </x14:cfRule>
          <x14:cfRule type="containsText" priority="4" stopIfTrue="1" operator="containsText" id="{53CF96D8-41FD-4A7E-982B-087A07B4C68C}">
            <xm:f>NOT(ISERROR(SEARCH($AB$5,Q14)))</xm:f>
            <xm:f>$AB$5</xm:f>
            <x14:dxf>
              <fill>
                <patternFill>
                  <bgColor rgb="FFFFCCCC"/>
                </patternFill>
              </fill>
            </x14:dxf>
          </x14:cfRule>
          <x14:cfRule type="containsText" priority="5" stopIfTrue="1" operator="containsText" id="{5513B575-B9EF-46B7-A7D0-E4F15F5C21A0}">
            <xm:f>NOT(ISERROR(SEARCH($AB$3,Q14)))</xm:f>
            <xm:f>$AB$3</xm:f>
            <x14:dxf>
              <fill>
                <patternFill>
                  <bgColor theme="9" tint="0.39994506668294322"/>
                </patternFill>
              </fill>
            </x14:dxf>
          </x14:cfRule>
          <xm:sqref>Q14:Q27 Q33:Q50 Q56:Q73 Q79:Q91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A2D7-8AB8-40C8-96FB-3EB564C5FF41}">
  <dimension ref="C1:M25"/>
  <sheetViews>
    <sheetView workbookViewId="0">
      <selection activeCell="E8" sqref="E8"/>
    </sheetView>
  </sheetViews>
  <sheetFormatPr baseColWidth="10" defaultRowHeight="14.5" x14ac:dyDescent="0.35"/>
  <cols>
    <col min="4" max="4" width="16.7265625" style="544" customWidth="1"/>
    <col min="5" max="5" width="30.453125" customWidth="1"/>
    <col min="6" max="6" width="17" style="544" customWidth="1"/>
  </cols>
  <sheetData>
    <row r="1" spans="3:13" x14ac:dyDescent="0.35">
      <c r="C1" s="488"/>
      <c r="D1" s="553"/>
      <c r="E1" s="488"/>
    </row>
    <row r="2" spans="3:13" x14ac:dyDescent="0.35">
      <c r="C2" s="488"/>
      <c r="D2" s="553"/>
      <c r="E2" s="488"/>
    </row>
    <row r="3" spans="3:13" x14ac:dyDescent="0.35">
      <c r="C3" s="488"/>
      <c r="D3" s="553"/>
      <c r="E3" s="488"/>
      <c r="F3" s="553"/>
      <c r="G3" s="488"/>
      <c r="H3" s="488"/>
      <c r="I3" s="488"/>
    </row>
    <row r="4" spans="3:13" x14ac:dyDescent="0.35">
      <c r="C4" s="488"/>
      <c r="D4" s="553"/>
      <c r="E4" s="488"/>
      <c r="F4" s="553"/>
      <c r="G4" s="488"/>
      <c r="H4" s="488"/>
      <c r="I4" s="488"/>
    </row>
    <row r="5" spans="3:13" x14ac:dyDescent="0.35">
      <c r="C5" s="488"/>
      <c r="D5" s="553"/>
      <c r="E5" s="488"/>
      <c r="F5" s="553"/>
      <c r="G5" s="488"/>
      <c r="H5" s="488"/>
      <c r="I5" s="488"/>
    </row>
    <row r="6" spans="3:13" x14ac:dyDescent="0.35">
      <c r="C6" s="488"/>
      <c r="D6" s="553"/>
      <c r="E6" s="545" t="s">
        <v>720</v>
      </c>
      <c r="F6" s="553"/>
      <c r="G6" s="488"/>
      <c r="H6" s="488"/>
      <c r="I6" s="488"/>
    </row>
    <row r="7" spans="3:13" x14ac:dyDescent="0.35">
      <c r="C7" s="488"/>
      <c r="D7" s="553"/>
      <c r="E7" s="544"/>
      <c r="F7" s="550" t="s">
        <v>722</v>
      </c>
      <c r="G7" s="488"/>
      <c r="H7" s="488"/>
      <c r="I7" s="488"/>
      <c r="J7" s="488"/>
      <c r="K7" s="488"/>
      <c r="L7" s="488"/>
      <c r="M7" s="488"/>
    </row>
    <row r="8" spans="3:13" x14ac:dyDescent="0.35">
      <c r="C8" s="488"/>
      <c r="D8" s="553"/>
      <c r="E8" s="546" t="s">
        <v>721</v>
      </c>
      <c r="G8" s="488"/>
      <c r="H8" s="488"/>
      <c r="I8" s="488"/>
      <c r="J8" s="488"/>
      <c r="K8" s="488"/>
      <c r="L8" s="488"/>
      <c r="M8" s="488"/>
    </row>
    <row r="9" spans="3:13" x14ac:dyDescent="0.35">
      <c r="C9" s="488"/>
      <c r="D9" s="553"/>
      <c r="E9" s="544"/>
      <c r="F9" s="550" t="s">
        <v>722</v>
      </c>
      <c r="G9" s="488"/>
      <c r="H9" s="488"/>
      <c r="I9" s="488"/>
      <c r="J9" s="488"/>
      <c r="K9" s="488"/>
      <c r="L9" s="488"/>
      <c r="M9" s="488"/>
    </row>
    <row r="10" spans="3:13" x14ac:dyDescent="0.35">
      <c r="C10" s="488"/>
      <c r="D10" s="553"/>
      <c r="E10" s="549" t="s">
        <v>723</v>
      </c>
      <c r="G10" s="488"/>
      <c r="H10" s="488"/>
      <c r="I10" s="488"/>
      <c r="J10" s="488"/>
      <c r="K10" s="488"/>
      <c r="L10" s="488"/>
      <c r="M10" s="488"/>
    </row>
    <row r="11" spans="3:13" x14ac:dyDescent="0.35">
      <c r="C11" s="488"/>
      <c r="D11" s="553"/>
      <c r="E11" s="544"/>
      <c r="F11" s="551" t="s">
        <v>726</v>
      </c>
      <c r="G11" s="488"/>
      <c r="H11" s="488"/>
      <c r="I11" s="488"/>
      <c r="J11" s="488"/>
      <c r="K11" s="488"/>
      <c r="L11" s="488"/>
      <c r="M11" s="488"/>
    </row>
    <row r="12" spans="3:13" x14ac:dyDescent="0.35">
      <c r="C12" s="488"/>
      <c r="D12" s="553"/>
      <c r="E12" s="548" t="s">
        <v>724</v>
      </c>
      <c r="G12" s="488"/>
      <c r="H12" s="488"/>
      <c r="I12" s="488"/>
      <c r="J12" s="488"/>
      <c r="K12" s="488"/>
      <c r="L12" s="488"/>
      <c r="M12" s="488"/>
    </row>
    <row r="13" spans="3:13" x14ac:dyDescent="0.35">
      <c r="C13" s="488"/>
      <c r="D13" s="553"/>
      <c r="E13" s="544"/>
      <c r="F13" s="551" t="s">
        <v>726</v>
      </c>
      <c r="G13" s="488"/>
      <c r="H13" s="488"/>
      <c r="I13" s="488"/>
      <c r="J13" s="488"/>
      <c r="K13" s="488"/>
      <c r="L13" s="488"/>
      <c r="M13" s="488"/>
    </row>
    <row r="14" spans="3:13" x14ac:dyDescent="0.35">
      <c r="C14" s="488"/>
      <c r="D14" s="553"/>
      <c r="E14" s="547" t="s">
        <v>725</v>
      </c>
      <c r="F14" s="553"/>
      <c r="G14" s="488"/>
      <c r="H14" s="488"/>
      <c r="I14" s="488"/>
      <c r="J14" s="488"/>
      <c r="K14" s="488"/>
      <c r="L14" s="488"/>
      <c r="M14" s="488"/>
    </row>
    <row r="15" spans="3:13" x14ac:dyDescent="0.35">
      <c r="C15" s="488"/>
      <c r="D15" s="553"/>
      <c r="E15" s="488"/>
      <c r="F15" s="553"/>
      <c r="G15" s="488"/>
      <c r="H15" s="488"/>
      <c r="I15" s="488"/>
      <c r="J15" s="488"/>
      <c r="K15" s="488"/>
      <c r="L15" s="488"/>
      <c r="M15" s="488"/>
    </row>
    <row r="16" spans="3:13" x14ac:dyDescent="0.35">
      <c r="C16" s="488"/>
      <c r="D16" s="552" t="s">
        <v>727</v>
      </c>
      <c r="E16" s="488"/>
      <c r="F16" s="551" t="s">
        <v>726</v>
      </c>
      <c r="G16" s="488"/>
      <c r="H16" s="488"/>
      <c r="I16" s="488"/>
      <c r="J16" s="488"/>
      <c r="K16" s="488"/>
      <c r="L16" s="488"/>
      <c r="M16" s="488"/>
    </row>
    <row r="17" spans="3:13" x14ac:dyDescent="0.35">
      <c r="C17" s="488"/>
      <c r="D17" s="553"/>
      <c r="E17" s="488"/>
      <c r="F17" s="553"/>
      <c r="G17" s="488"/>
      <c r="H17" s="488"/>
      <c r="I17" s="488"/>
      <c r="J17" s="488"/>
      <c r="K17" s="488"/>
      <c r="L17" s="488"/>
      <c r="M17" s="488"/>
    </row>
    <row r="18" spans="3:13" x14ac:dyDescent="0.35">
      <c r="D18" s="553"/>
      <c r="E18" s="488"/>
      <c r="F18" s="553"/>
      <c r="G18" s="488"/>
      <c r="H18" s="488"/>
      <c r="I18" s="488"/>
      <c r="J18" s="488"/>
      <c r="K18" s="488"/>
      <c r="L18" s="488"/>
      <c r="M18" s="488"/>
    </row>
    <row r="19" spans="3:13" x14ac:dyDescent="0.35">
      <c r="D19" s="553"/>
      <c r="E19" s="488"/>
      <c r="F19" s="553"/>
      <c r="G19" s="488"/>
      <c r="H19" s="488"/>
      <c r="I19" s="488"/>
      <c r="J19" s="488"/>
      <c r="K19" s="488"/>
      <c r="L19" s="488"/>
      <c r="M19" s="488"/>
    </row>
    <row r="20" spans="3:13" x14ac:dyDescent="0.35">
      <c r="D20" s="553"/>
      <c r="E20" s="488"/>
      <c r="F20" s="553"/>
      <c r="G20" s="488"/>
      <c r="H20" s="488"/>
      <c r="I20" s="488"/>
      <c r="J20" s="488"/>
      <c r="K20" s="488"/>
      <c r="L20" s="488"/>
      <c r="M20" s="488"/>
    </row>
    <row r="21" spans="3:13" x14ac:dyDescent="0.35">
      <c r="D21" s="553"/>
      <c r="E21" s="488"/>
      <c r="F21" s="553"/>
      <c r="G21" s="488"/>
      <c r="H21" s="488"/>
      <c r="I21" s="488"/>
      <c r="J21" s="488"/>
      <c r="K21" s="488"/>
      <c r="L21" s="488"/>
      <c r="M21" s="488"/>
    </row>
    <row r="22" spans="3:13" x14ac:dyDescent="0.35">
      <c r="D22" s="553"/>
      <c r="E22" s="488"/>
      <c r="F22" s="553"/>
      <c r="G22" s="488"/>
      <c r="H22" s="488"/>
      <c r="I22" s="488"/>
      <c r="J22" s="488"/>
      <c r="K22" s="488"/>
      <c r="L22" s="488"/>
    </row>
    <row r="23" spans="3:13" x14ac:dyDescent="0.35">
      <c r="D23" s="553"/>
      <c r="E23" s="488"/>
      <c r="F23" s="553"/>
      <c r="G23" s="488"/>
      <c r="H23" s="488"/>
      <c r="I23" s="488"/>
      <c r="J23" s="488"/>
      <c r="K23" s="488"/>
      <c r="L23" s="488"/>
    </row>
    <row r="24" spans="3:13" x14ac:dyDescent="0.35">
      <c r="D24" s="553"/>
      <c r="E24" s="488"/>
      <c r="F24" s="553"/>
      <c r="G24" s="488"/>
      <c r="H24" s="488"/>
      <c r="I24" s="488"/>
      <c r="J24" s="488"/>
      <c r="K24" s="488"/>
      <c r="L24" s="488"/>
    </row>
    <row r="25" spans="3:13" x14ac:dyDescent="0.35">
      <c r="D25" s="553"/>
      <c r="E25" s="488"/>
      <c r="F25" s="553"/>
      <c r="G25" s="488"/>
      <c r="H25" s="488"/>
      <c r="I25" s="488"/>
      <c r="J25" s="488"/>
      <c r="K25" s="488"/>
      <c r="L25" s="48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D0E9A33D5B2E43AA9216D7D6550581" ma:contentTypeVersion="55" ma:contentTypeDescription="Create a new document." ma:contentTypeScope="" ma:versionID="9bbb3d78c75e01c5199cf72bbbcaf41b">
  <xsd:schema xmlns:xsd="http://www.w3.org/2001/XMLSchema" xmlns:xs="http://www.w3.org/2001/XMLSchema" xmlns:p="http://schemas.microsoft.com/office/2006/metadata/properties" xmlns:ns2="0b59e5d4-4d5d-4cfc-83bb-9b01b2e69d45" xmlns:ns3="c744c358-a2cd-41e2-bbc9-625050f8344b" targetNamespace="http://schemas.microsoft.com/office/2006/metadata/properties" ma:root="true" ma:fieldsID="e938477286c0c2c755da3ad19ce724f0" ns2:_="" ns3:_="">
    <xsd:import namespace="0b59e5d4-4d5d-4cfc-83bb-9b01b2e69d45"/>
    <xsd:import namespace="c744c358-a2cd-41e2-bbc9-625050f8344b"/>
    <xsd:element name="properties">
      <xsd:complexType>
        <xsd:sequence>
          <xsd:element name="documentManagement">
            <xsd:complexType>
              <xsd:all>
                <xsd:element ref="ns2:_dlc_DocIdUrl" minOccurs="0"/>
                <xsd:element ref="ns2:Area" minOccurs="0"/>
                <xsd:element ref="ns2:Document_x0020_Type" minOccurs="0"/>
                <xsd:element ref="ns2:Code" minOccurs="0"/>
                <xsd:element ref="ns2:Document_x0020_description" minOccurs="0"/>
                <xsd:element ref="ns2:Edition" minOccurs="0"/>
                <xsd:element ref="ns2:Approval_x0020_Date" minOccurs="0"/>
                <xsd:element ref="ns2:Latest_x0020_Changes" minOccurs="0"/>
                <xsd:element ref="ns2:Approver" minOccurs="0"/>
                <xsd:element ref="ns2:R_x0026_D" minOccurs="0"/>
                <xsd:element ref="ns2:ENG" minOccurs="0"/>
                <xsd:element ref="ns2:PRO" minOccurs="0"/>
                <xsd:element ref="ns2:SAL" minOccurs="0"/>
                <xsd:element ref="ns2:PUR" minOccurs="0"/>
                <xsd:element ref="ns2:SUP" minOccurs="0"/>
                <xsd:element ref="ns2:QTY" minOccurs="0"/>
                <xsd:element ref="ns2:HHRR" minOccurs="0"/>
                <xsd:element ref="ns2:ADM" minOccurs="0"/>
                <xsd:element ref="ns2:MAN" minOccurs="0"/>
                <xsd:element ref="ns3:Released" minOccurs="0"/>
                <xsd:element ref="ns3:Other" minOccurs="0"/>
                <xsd:element ref="ns3:Supplier_x0020_Code" minOccurs="0"/>
                <xsd:element ref="ns2:_dlc_DocIdPersistId" minOccurs="0"/>
                <xsd:element ref="ns2:_dlc_DocId" minOccurs="0"/>
                <xsd:element ref="ns3:MediaServiceMetadata" minOccurs="0"/>
                <xsd:element ref="ns2:SharedWithUsers" minOccurs="0"/>
                <xsd:element ref="ns2:SharedWithDetails" minOccurs="0"/>
                <xsd:element ref="ns3:MediaServiceFastMetadata" minOccurs="0"/>
                <xsd:element ref="ns3:MediaServiceAutoTags" minOccurs="0"/>
                <xsd:element ref="ns3:MediaServiceOCR" minOccurs="0"/>
                <xsd:element ref="ns3:MediaServiceGenerationTime" minOccurs="0"/>
                <xsd:element ref="ns3:MediaServiceAutoKeyPoints" minOccurs="0"/>
                <xsd:element ref="ns3:MediaServiceKeyPoints" minOccurs="0"/>
                <xsd:element ref="ns3:MediaServiceEventHashCode" minOccurs="0"/>
                <xsd:element ref="ns3:MediaServiceObjectDetectorVersions" minOccurs="0"/>
                <xsd:element ref="ns3:MediaServiceSearchProperties" minOccurs="0"/>
                <xsd:element ref="ns3:RDApprovaldate" minOccurs="0"/>
                <xsd:element ref="ns3:Qualityapprovaldate" minOccurs="0"/>
                <xsd:element ref="ns3:Reviewed" minOccurs="0"/>
                <xsd:element ref="ns3:Releasedby" minOccurs="0"/>
                <xsd:element ref="ns3:Doc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9e5d4-4d5d-4cfc-83bb-9b01b2e69d45" elementFormDefault="qualified">
    <xsd:import namespace="http://schemas.microsoft.com/office/2006/documentManagement/types"/>
    <xsd:import namespace="http://schemas.microsoft.com/office/infopath/2007/PartnerControls"/>
    <xsd:element name="_dlc_DocIdUrl" ma:index="1"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Area" ma:index="2" nillable="true" ma:displayName="Area" ma:default="N/D" ma:format="Dropdown" ma:indexed="true" ma:internalName="Area">
      <xsd:simpleType>
        <xsd:restriction base="dms:Choice">
          <xsd:enumeration value="N/D"/>
          <xsd:enumeration value="2D-Coil"/>
          <xsd:enumeration value="3D14ULP"/>
          <xsd:enumeration value="3DC06"/>
          <xsd:enumeration value="3DC09"/>
          <xsd:enumeration value="3DC11"/>
          <xsd:enumeration value="3DC11EM"/>
          <xsd:enumeration value="3DC12EM"/>
          <xsd:enumeration value="3DC15"/>
          <xsd:enumeration value="3DCAOI"/>
          <xsd:enumeration value="Air coil"/>
          <xsd:enumeration value="Antena GT"/>
          <xsd:enumeration value="Antenna"/>
          <xsd:enumeration value="ATC1103"/>
          <xsd:enumeration value="Chip Inductor"/>
          <xsd:enumeration value="Choke coils"/>
          <xsd:enumeration value="Compliance"/>
          <xsd:enumeration value="Coupled Coils"/>
          <xsd:enumeration value="CS0402"/>
          <xsd:enumeration value="CS0603"/>
          <xsd:enumeration value="CS0805"/>
          <xsd:enumeration value="CS1008"/>
          <xsd:enumeration value="CS1210"/>
          <xsd:enumeration value="Door Handle Antenna"/>
          <xsd:enumeration value="Drum Core"/>
          <xsd:enumeration value="EC5 Primary coil"/>
          <xsd:enumeration value="EMS"/>
          <xsd:enumeration value="Fiabilidad"/>
          <xsd:enumeration value="FILTERS"/>
          <xsd:enumeration value="Filters"/>
          <xsd:enumeration value="GC Antenna"/>
          <xsd:enumeration value="General"/>
          <xsd:enumeration value="Helical Antenna"/>
          <xsd:enumeration value="HF Crypto-tag"/>
          <xsd:enumeration value="HF Rod Antenna"/>
          <xsd:enumeration value="IC"/>
          <xsd:enumeration value="Inductives"/>
          <xsd:enumeration value="Immobilizer"/>
          <xsd:enumeration value="K0 Backup Antenna"/>
          <xsd:enumeration value="KCA"/>
          <xsd:enumeration value="KGA"/>
          <xsd:enumeration value="KGEA"/>
          <xsd:enumeration value="LF Antenna"/>
          <xsd:enumeration value="Locker Antenna"/>
          <xsd:enumeration value="Low profile emitter antenna"/>
          <xsd:enumeration value="Mantenimiento"/>
          <xsd:enumeration value="Microcoil"/>
          <xsd:enumeration value="Minifish"/>
          <xsd:enumeration value="NFC"/>
          <xsd:enumeration value="Overmoulded Air Coil"/>
          <xsd:enumeration value="Pot Core"/>
          <xsd:enumeration value="Power Inductor"/>
          <xsd:enumeration value="PREMOTAG"/>
          <xsd:enumeration value="QMS"/>
          <xsd:enumeration value="R&amp;D"/>
          <xsd:enumeration value="RFID"/>
          <xsd:enumeration value="RCA"/>
          <xsd:enumeration value="Reader Coil"/>
          <xsd:enumeration value="SDTR0802"/>
          <xsd:enumeration value="SDTR1103"/>
          <xsd:enumeration value="SDTR1103CAP"/>
          <xsd:enumeration value="SDTR1103EM"/>
          <xsd:enumeration value="SDTR1103U"/>
          <xsd:enumeration value="SDTR1503"/>
          <xsd:enumeration value="SDTR1503U"/>
          <xsd:enumeration value="SEA"/>
          <xsd:enumeration value="Sensing Coil"/>
          <xsd:enumeration value="SGA"/>
          <xsd:enumeration value="Super 10"/>
          <xsd:enumeration value="Super 12"/>
          <xsd:enumeration value="TAG"/>
          <xsd:enumeration value="TC0502"/>
          <xsd:enumeration value="Telecoil"/>
          <xsd:enumeration value="TOM1203"/>
          <xsd:enumeration value="TP0502"/>
          <xsd:enumeration value="TP0602"/>
          <xsd:enumeration value="TP0702"/>
          <xsd:enumeration value="TP1102"/>
          <xsd:enumeration value="TP1103"/>
          <xsd:enumeration value="TR1102"/>
          <xsd:enumeration value="TR1104"/>
          <xsd:enumeration value="TR1504"/>
          <xsd:enumeration value="TR1505"/>
          <xsd:enumeration value="Trafos"/>
          <xsd:enumeration value="Transformer"/>
          <xsd:enumeration value="VR"/>
          <xsd:enumeration value="Wire"/>
          <xsd:enumeration value="Y Axis Coil"/>
          <xsd:enumeration value="Z Axis Air Coil"/>
          <xsd:enumeration value="Z Axis Coil"/>
        </xsd:restriction>
      </xsd:simpleType>
    </xsd:element>
    <xsd:element name="Document_x0020_Type" ma:index="3" nillable="true" ma:displayName="Document Type" ma:default="N/D" ma:format="Dropdown" ma:indexed="true" ma:internalName="Document_x0020_Type">
      <xsd:simpleType>
        <xsd:restriction base="dms:Choice">
          <xsd:enumeration value="N/D"/>
          <xsd:enumeration value="3D/GERB"/>
          <xsd:enumeration value="Customer Specification"/>
          <xsd:enumeration value="DFMEA"/>
          <xsd:enumeration value="Global Form"/>
          <xsd:enumeration value="Global Gral. Doc."/>
          <xsd:enumeration value="Global Procedure"/>
          <xsd:enumeration value="Global Process Data Sheet"/>
          <xsd:enumeration value="Global WI"/>
          <xsd:enumeration value="List"/>
          <xsd:enumeration value="PREMO specification"/>
          <xsd:enumeration value="PREMO RM spec"/>
          <xsd:enumeration value="Customer Requirements"/>
          <xsd:enumeration value="Standard"/>
          <xsd:enumeration value="Supplier RM Specification"/>
          <xsd:enumeration value="Working Instruction"/>
          <xsd:enumeration value="Compliance General Doc"/>
          <xsd:enumeration value="Compliance Procedure"/>
          <xsd:enumeration value="Compliance Form"/>
          <xsd:enumeration value="Customer drawing"/>
        </xsd:restriction>
      </xsd:simpleType>
    </xsd:element>
    <xsd:element name="Code" ma:index="4" nillable="true" ma:displayName="Code" ma:indexed="true" ma:internalName="Code">
      <xsd:simpleType>
        <xsd:restriction base="dms:Text">
          <xsd:maxLength value="255"/>
        </xsd:restriction>
      </xsd:simpleType>
    </xsd:element>
    <xsd:element name="Document_x0020_description" ma:index="5" nillable="true" ma:displayName="Document description" ma:indexed="true" ma:internalName="Document_x0020_description" ma:readOnly="false">
      <xsd:simpleType>
        <xsd:restriction base="dms:Text">
          <xsd:maxLength value="255"/>
        </xsd:restriction>
      </xsd:simpleType>
    </xsd:element>
    <xsd:element name="Edition" ma:index="6" nillable="true" ma:displayName="Edition" ma:indexed="true" ma:internalName="Edition">
      <xsd:simpleType>
        <xsd:restriction base="dms:Text">
          <xsd:maxLength value="255"/>
        </xsd:restriction>
      </xsd:simpleType>
    </xsd:element>
    <xsd:element name="Approval_x0020_Date" ma:index="7" nillable="true" ma:displayName="Release Date" ma:format="DateOnly" ma:indexed="true" ma:internalName="Approval_x0020_Date" ma:readOnly="false">
      <xsd:simpleType>
        <xsd:restriction base="dms:DateTime"/>
      </xsd:simpleType>
    </xsd:element>
    <xsd:element name="Latest_x0020_Changes" ma:index="8" nillable="true" ma:displayName="Latest Changes" ma:internalName="Latest_x0020_Changes" ma:readOnly="false">
      <xsd:simpleType>
        <xsd:restriction base="dms:Note">
          <xsd:maxLength value="255"/>
        </xsd:restriction>
      </xsd:simpleType>
    </xsd:element>
    <xsd:element name="Approver" ma:index="9" nillable="true" ma:displayName="Approver" ma:list="UserInfo" ma:SharePointGroup="0" ma:internalName="Approver" ma:readOnly="false"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_x0026_D" ma:index="10" nillable="true" ma:displayName="R&amp;D" ma:default="0" ma:description="R&amp;D Group Notification" ma:internalName="R_x0026_D" ma:readOnly="false">
      <xsd:simpleType>
        <xsd:restriction base="dms:Boolean"/>
      </xsd:simpleType>
    </xsd:element>
    <xsd:element name="ENG" ma:index="11" nillable="true" ma:displayName="ENG" ma:default="0" ma:description="ENG Notification" ma:internalName="ENG" ma:readOnly="false">
      <xsd:simpleType>
        <xsd:restriction base="dms:Boolean"/>
      </xsd:simpleType>
    </xsd:element>
    <xsd:element name="PRO" ma:index="12" nillable="true" ma:displayName="PRO" ma:default="0" ma:description="PRO Notification" ma:internalName="PRO" ma:readOnly="false">
      <xsd:simpleType>
        <xsd:restriction base="dms:Boolean"/>
      </xsd:simpleType>
    </xsd:element>
    <xsd:element name="SAL" ma:index="13" nillable="true" ma:displayName="SAL/CS" ma:default="0" ma:description="SAL Notification" ma:internalName="SAL" ma:readOnly="false">
      <xsd:simpleType>
        <xsd:restriction base="dms:Boolean"/>
      </xsd:simpleType>
    </xsd:element>
    <xsd:element name="PUR" ma:index="14" nillable="true" ma:displayName="SOU" ma:default="0" ma:description="PUR and SOU notification" ma:internalName="PUR" ma:readOnly="false">
      <xsd:simpleType>
        <xsd:restriction base="dms:Boolean"/>
      </xsd:simpleType>
    </xsd:element>
    <xsd:element name="SUP" ma:index="15" nillable="true" ma:displayName="SUP/WH" ma:default="0" ma:description="Supply Chain notification" ma:internalName="SUP" ma:readOnly="false">
      <xsd:simpleType>
        <xsd:restriction base="dms:Boolean"/>
      </xsd:simpleType>
    </xsd:element>
    <xsd:element name="QTY" ma:index="16" nillable="true" ma:displayName="QTY" ma:default="0" ma:description="QTY Notification" ma:internalName="QTY" ma:readOnly="false">
      <xsd:simpleType>
        <xsd:restriction base="dms:Boolean"/>
      </xsd:simpleType>
    </xsd:element>
    <xsd:element name="HHRR" ma:index="17" nillable="true" ma:displayName="HHRR" ma:default="0" ma:description="HHRR Notification" ma:internalName="HHRR" ma:readOnly="false">
      <xsd:simpleType>
        <xsd:restriction base="dms:Boolean"/>
      </xsd:simpleType>
    </xsd:element>
    <xsd:element name="ADM" ma:index="18" nillable="true" ma:displayName="ADM" ma:default="0" ma:description="ADM Notification" ma:internalName="ADM" ma:readOnly="false">
      <xsd:simpleType>
        <xsd:restriction base="dms:Boolean"/>
      </xsd:simpleType>
    </xsd:element>
    <xsd:element name="MAN" ma:index="19" nillable="true" ma:displayName="MAN" ma:default="1" ma:description="Manager Notification" ma:internalName="MAN" ma:readOnly="false">
      <xsd:simpleType>
        <xsd:restriction base="dms:Boolean"/>
      </xsd:simpleType>
    </xsd:element>
    <xsd:element name="_dlc_DocIdPersistId" ma:index="25" nillable="true" ma:displayName="Persist ID" ma:description="Keep ID on add." ma:hidden="true" ma:internalName="_dlc_DocIdPersistId" ma:readOnly="false">
      <xsd:simpleType>
        <xsd:restriction base="dms:Boolean"/>
      </xsd:simpleType>
    </xsd:element>
    <xsd:element name="_dlc_DocId" ma:index="32" nillable="true" ma:displayName="Document ID Value" ma:description="The value of the document ID assigned to this item." ma:hidden="true" ma:internalName="_dlc_DocId" ma:readOnly="false">
      <xsd:simpleType>
        <xsd:restriction base="dms:Text"/>
      </xsd:simpleType>
    </xsd:element>
    <xsd:element name="SharedWithUsers" ma:index="3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44c358-a2cd-41e2-bbc9-625050f8344b" elementFormDefault="qualified">
    <xsd:import namespace="http://schemas.microsoft.com/office/2006/documentManagement/types"/>
    <xsd:import namespace="http://schemas.microsoft.com/office/infopath/2007/PartnerControls"/>
    <xsd:element name="Released" ma:index="22" nillable="true" ma:displayName="Released" ma:default="N/A" ma:format="Dropdown" ma:indexed="true" ma:internalName="Released">
      <xsd:simpleType>
        <xsd:restriction base="dms:Choice">
          <xsd:enumeration value="No"/>
          <xsd:enumeration value="Yes"/>
          <xsd:enumeration value="N/A"/>
        </xsd:restriction>
      </xsd:simpleType>
    </xsd:element>
    <xsd:element name="Other" ma:index="23" nillable="true" ma:displayName="Other" ma:internalName="Other" ma:readOnly="false">
      <xsd:simpleType>
        <xsd:restriction base="dms:Note">
          <xsd:maxLength value="255"/>
        </xsd:restriction>
      </xsd:simpleType>
    </xsd:element>
    <xsd:element name="Supplier_x0020_Code" ma:index="24" nillable="true" ma:displayName="Supplier Code" ma:default="N/A" ma:internalName="Supplier_x0020_Code">
      <xsd:simpleType>
        <xsd:restriction base="dms:Text">
          <xsd:maxLength value="255"/>
        </xsd:restriction>
      </xsd:simpleType>
    </xsd:element>
    <xsd:element name="MediaServiceMetadata" ma:index="34" nillable="true" ma:displayName="MediaServiceMetadata" ma:hidden="true" ma:internalName="MediaServiceMetadata" ma:readOnly="true">
      <xsd:simpleType>
        <xsd:restriction base="dms:Note"/>
      </xsd:simpleType>
    </xsd:element>
    <xsd:element name="MediaServiceFastMetadata" ma:index="37" nillable="true" ma:displayName="MediaServiceFastMetadata" ma:hidden="true" ma:internalName="MediaServiceFastMetadata" ma:readOnly="true">
      <xsd:simpleType>
        <xsd:restriction base="dms:Note"/>
      </xsd:simpleType>
    </xsd:element>
    <xsd:element name="MediaServiceAutoTags" ma:index="38" nillable="true" ma:displayName="Tags" ma:hidden="true" ma:internalName="MediaServiceAutoTags" ma:readOnly="true">
      <xsd:simpleType>
        <xsd:restriction base="dms:Text"/>
      </xsd:simpleType>
    </xsd:element>
    <xsd:element name="MediaServiceOCR" ma:index="39" nillable="true" ma:displayName="Extracted Text" ma:hidden="true" ma:internalName="MediaServiceOCR" ma:readOnly="true">
      <xsd:simpleType>
        <xsd:restriction base="dms:Note"/>
      </xsd:simpleType>
    </xsd:element>
    <xsd:element name="MediaServiceGenerationTime" ma:index="40" nillable="true" ma:displayName="MediaServiceGenerationTime" ma:hidden="true" ma:internalName="MediaServiceGenerationTime" ma:readOnly="true">
      <xsd:simpleType>
        <xsd:restriction base="dms:Text"/>
      </xsd:simpleType>
    </xsd:element>
    <xsd:element name="MediaServiceAutoKeyPoints" ma:index="41" nillable="true" ma:displayName="MediaServiceAutoKeyPoints" ma:hidden="true" ma:internalName="MediaServiceAutoKeyPoints" ma:readOnly="true">
      <xsd:simpleType>
        <xsd:restriction base="dms:Note"/>
      </xsd:simpleType>
    </xsd:element>
    <xsd:element name="MediaServiceKeyPoints" ma:index="42" nillable="true" ma:displayName="KeyPoints" ma:hidden="true" ma:internalName="MediaServiceKeyPoints" ma:readOnly="true">
      <xsd:simpleType>
        <xsd:restriction base="dms:Note"/>
      </xsd:simpleType>
    </xsd:element>
    <xsd:element name="MediaServiceEventHashCode" ma:index="43" nillable="true" ma:displayName="MediaServiceEventHashCode" ma:hidden="true" ma:internalName="MediaServiceEventHashCode" ma:readOnly="true">
      <xsd:simpleType>
        <xsd:restriction base="dms:Text"/>
      </xsd:simpleType>
    </xsd:element>
    <xsd:element name="MediaServiceObjectDetectorVersions" ma:index="44" nillable="true" ma:displayName="MediaServiceObjectDetectorVersions" ma:hidden="true" ma:indexed="true" ma:internalName="MediaServiceObjectDetectorVersions" ma:readOnly="true">
      <xsd:simpleType>
        <xsd:restriction base="dms:Text"/>
      </xsd:simpleType>
    </xsd:element>
    <xsd:element name="MediaServiceSearchProperties" ma:index="45" nillable="true" ma:displayName="MediaServiceSearchProperties" ma:hidden="true" ma:internalName="MediaServiceSearchProperties" ma:readOnly="true">
      <xsd:simpleType>
        <xsd:restriction base="dms:Note"/>
      </xsd:simpleType>
    </xsd:element>
    <xsd:element name="RDApprovaldate" ma:index="46" nillable="true" ma:displayName="Review Date (SP)" ma:description="SharePoint Review date" ma:format="DateOnly" ma:internalName="RDApprovaldate">
      <xsd:simpleType>
        <xsd:restriction base="dms:DateTime"/>
      </xsd:simpleType>
    </xsd:element>
    <xsd:element name="Qualityapprovaldate" ma:index="47" nillable="true" ma:displayName="Approval date" ma:format="DateOnly" ma:internalName="Qualityapprovaldate">
      <xsd:simpleType>
        <xsd:restriction base="dms:DateTime"/>
      </xsd:simpleType>
    </xsd:element>
    <xsd:element name="Reviewed" ma:index="48" nillable="true" ma:displayName="Reviewed by" ma:format="Dropdown" ma:internalName="Reviewed">
      <xsd:simpleType>
        <xsd:restriction base="dms:Text">
          <xsd:maxLength value="255"/>
        </xsd:restriction>
      </xsd:simpleType>
    </xsd:element>
    <xsd:element name="Releasedby" ma:index="49" nillable="true" ma:displayName="Released by" ma:format="Dropdown" ma:internalName="Releasedby">
      <xsd:simpleType>
        <xsd:restriction base="dms:Text">
          <xsd:maxLength value="255"/>
        </xsd:restriction>
      </xsd:simpleType>
    </xsd:element>
    <xsd:element name="DocLog" ma:index="50" nillable="true" ma:displayName="DocLog" ma:format="Hyperlink" ma:internalName="DocLog">
      <xsd:complexType>
        <xsd:complexContent>
          <xsd:extension base="dms:URL">
            <xsd:sequence>
              <xsd:element name="Url" type="dms:ValidUrl" minOccurs="0" nillable="true"/>
              <xsd:element name="Description" type="xsd:string"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SharedWithUsers xmlns="0b59e5d4-4d5d-4cfc-83bb-9b01b2e69d45">
      <UserInfo>
        <DisplayName/>
        <AccountId xsi:nil="true"/>
        <AccountType/>
      </UserInfo>
    </SharedWithUsers>
    <Document_x0020_Type xmlns="0b59e5d4-4d5d-4cfc-83bb-9b01b2e69d45">Global Form</Document_x0020_Type>
    <Approval_x0020_Date xmlns="0b59e5d4-4d5d-4cfc-83bb-9b01b2e69d45">2026-04-29T22:00:00+00:00</Approval_x0020_Date>
    <ADM xmlns="0b59e5d4-4d5d-4cfc-83bb-9b01b2e69d45">true</ADM>
    <_dlc_DocIdUrl xmlns="0b59e5d4-4d5d-4cfc-83bb-9b01b2e69d45">
      <Url>https://grupopremo.sharepoint.com/sites/MasterList/_layouts/15/DocIdRedir.aspx?ID=MLDOCID-1499757840-13100</Url>
      <Description>MLDOCID-1499757840-13100</Description>
    </_dlc_DocIdUrl>
    <Code xmlns="0b59e5d4-4d5d-4cfc-83bb-9b01b2e69d45">GL-00-001-F-001</Code>
    <Edition xmlns="0b59e5d4-4d5d-4cfc-83bb-9b01b2e69d45">9</Edition>
    <Reviewed xmlns="c744c358-a2cd-41e2-bbc9-625050f8344b">Dipali Patel</Reviewed>
    <DocLog xmlns="c744c358-a2cd-41e2-bbc9-625050f8344b">
      <Url>https://grupopremo.sharepoint.com/sites/MasterList/DocHistory/GL-00-001-F-001.xlsx.txt</Url>
      <Description>log</Description>
    </DocLog>
    <Document_x0020_description xmlns="0b59e5d4-4d5d-4cfc-83bb-9b01b2e69d45">APQP Gate Release Checklist (APQP GRC)</Document_x0020_description>
    <Latest_x0020_Changes xmlns="0b59e5d4-4d5d-4cfc-83bb-9b01b2e69d45">Added Conditional Approval in the project phase</Latest_x0020_Changes>
    <HHRR xmlns="0b59e5d4-4d5d-4cfc-83bb-9b01b2e69d45">false</HHRR>
    <RDApprovaldate xmlns="c744c358-a2cd-41e2-bbc9-625050f8344b">2026-04-28T22:00:00+00:00</RDApprovaldate>
    <Supplier_x0020_Code xmlns="c744c358-a2cd-41e2-bbc9-625050f8344b">N/A</Supplier_x0020_Code>
    <Other xmlns="c744c358-a2cd-41e2-bbc9-625050f8344b" xsi:nil="true"/>
    <_dlc_DocId xmlns="0b59e5d4-4d5d-4cfc-83bb-9b01b2e69d45">MLDOCID-1499757840-13100</_dlc_DocId>
    <R_x0026_D xmlns="0b59e5d4-4d5d-4cfc-83bb-9b01b2e69d45">true</R_x0026_D>
    <QTY xmlns="0b59e5d4-4d5d-4cfc-83bb-9b01b2e69d45">true</QTY>
    <PRO xmlns="0b59e5d4-4d5d-4cfc-83bb-9b01b2e69d45">true</PRO>
    <Released xmlns="c744c358-a2cd-41e2-bbc9-625050f8344b">Yes</Released>
    <Area xmlns="0b59e5d4-4d5d-4cfc-83bb-9b01b2e69d45">QMS</Area>
    <Approver xmlns="0b59e5d4-4d5d-4cfc-83bb-9b01b2e69d45">
      <UserInfo>
        <DisplayName>Andres Garcia</DisplayName>
        <AccountId>30</AccountId>
        <AccountType/>
      </UserInfo>
    </Approver>
    <SAL xmlns="0b59e5d4-4d5d-4cfc-83bb-9b01b2e69d45">true</SAL>
    <SUP xmlns="0b59e5d4-4d5d-4cfc-83bb-9b01b2e69d45">false</SUP>
    <MAN xmlns="0b59e5d4-4d5d-4cfc-83bb-9b01b2e69d45">false</MAN>
    <Qualityapprovaldate xmlns="c744c358-a2cd-41e2-bbc9-625050f8344b">2026-04-28T22:00:00+00:00</Qualityapprovaldate>
    <Releasedby xmlns="c744c358-a2cd-41e2-bbc9-625050f8344b">Jonatan Muñoz</Releasedby>
    <ENG xmlns="0b59e5d4-4d5d-4cfc-83bb-9b01b2e69d45">true</ENG>
    <PUR xmlns="0b59e5d4-4d5d-4cfc-83bb-9b01b2e69d45">true</PUR>
    <_dlc_DocIdPersistId xmlns="0b59e5d4-4d5d-4cfc-83bb-9b01b2e69d45" xsi:nil="true"/>
  </documentManagement>
</p:properties>
</file>

<file path=customXml/itemProps1.xml><?xml version="1.0" encoding="utf-8"?>
<ds:datastoreItem xmlns:ds="http://schemas.openxmlformats.org/officeDocument/2006/customXml" ds:itemID="{102A97F9-CC36-4854-A728-6CD6D2156503}">
  <ds:schemaRefs>
    <ds:schemaRef ds:uri="http://schemas.microsoft.com/sharepoint/v3/contenttype/forms"/>
  </ds:schemaRefs>
</ds:datastoreItem>
</file>

<file path=customXml/itemProps2.xml><?xml version="1.0" encoding="utf-8"?>
<ds:datastoreItem xmlns:ds="http://schemas.openxmlformats.org/officeDocument/2006/customXml" ds:itemID="{AA58D28C-64E3-4E35-8F1A-73EA387EAB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59e5d4-4d5d-4cfc-83bb-9b01b2e69d45"/>
    <ds:schemaRef ds:uri="c744c358-a2cd-41e2-bbc9-625050f83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3896CE-44D4-4C4C-9A81-164BB4908E00}">
  <ds:schemaRefs>
    <ds:schemaRef ds:uri="http://schemas.microsoft.com/DataMashup"/>
  </ds:schemaRefs>
</ds:datastoreItem>
</file>

<file path=customXml/itemProps4.xml><?xml version="1.0" encoding="utf-8"?>
<ds:datastoreItem xmlns:ds="http://schemas.openxmlformats.org/officeDocument/2006/customXml" ds:itemID="{2D62B512-E268-4E5E-8C3E-B22E763FEAB9}">
  <ds:schemaRefs>
    <ds:schemaRef ds:uri="http://schemas.microsoft.com/sharepoint/events"/>
  </ds:schemaRefs>
</ds:datastoreItem>
</file>

<file path=customXml/itemProps5.xml><?xml version="1.0" encoding="utf-8"?>
<ds:datastoreItem xmlns:ds="http://schemas.openxmlformats.org/officeDocument/2006/customXml" ds:itemID="{C048B13D-14B9-4E0F-A96A-80BDA61B19D2}">
  <ds:schemaRefs>
    <ds:schemaRef ds:uri="http://schemas.openxmlformats.org/package/2006/metadata/core-properties"/>
    <ds:schemaRef ds:uri="http://schemas.microsoft.com/office/2006/metadata/properties"/>
    <ds:schemaRef ds:uri="0b59e5d4-4d5d-4cfc-83bb-9b01b2e69d45"/>
    <ds:schemaRef ds:uri="http://purl.org/dc/terms/"/>
    <ds:schemaRef ds:uri="http://schemas.microsoft.com/office/2006/documentManagement/types"/>
    <ds:schemaRef ds:uri="http://purl.org/dc/elements/1.1/"/>
    <ds:schemaRef ds:uri="c744c358-a2cd-41e2-bbc9-625050f8344b"/>
    <ds:schemaRef ds:uri="http://www.w3.org/XML/1998/namespace"/>
    <ds:schemaRef ds:uri="http://schemas.microsoft.com/office/infopath/2007/PartnerControls"/>
    <ds:schemaRef ds:uri="http://purl.org/dc/dcmitype/"/>
  </ds:schemaRefs>
</ds:datastoreItem>
</file>

<file path=docMetadata/LabelInfo.xml><?xml version="1.0" encoding="utf-8"?>
<clbl:labelList xmlns:clbl="http://schemas.microsoft.com/office/2020/mipLabelMetadata">
  <clbl:label id="{ef30448f-b0ea-4625-99b6-991583884a18}" enabled="0" method="" siteId="{ef30448f-b0ea-4625-99b6-991583884a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17</vt:i4>
      </vt:variant>
    </vt:vector>
  </HeadingPairs>
  <TitlesOfParts>
    <vt:vector size="29" baseType="lpstr">
      <vt:lpstr>0.APQP GRC</vt:lpstr>
      <vt:lpstr>Sheet1</vt:lpstr>
      <vt:lpstr>Sheet2</vt:lpstr>
      <vt:lpstr>0. Items + RASIC</vt:lpstr>
      <vt:lpstr>1. Feasibility</vt:lpstr>
      <vt:lpstr>2.Design Validation</vt:lpstr>
      <vt:lpstr>3. Industrialization</vt:lpstr>
      <vt:lpstr>4. SOP+6M</vt:lpstr>
      <vt:lpstr>Gate Release Team</vt:lpstr>
      <vt:lpstr>Ed. Control</vt:lpstr>
      <vt:lpstr>APQP GRC Non-Auto (PENDING)</vt:lpstr>
      <vt:lpstr>IT INFO</vt:lpstr>
      <vt:lpstr>'0. Items + RASIC'!Área_de_impresión</vt:lpstr>
      <vt:lpstr>'0.APQP GRC'!Área_de_impresión</vt:lpstr>
      <vt:lpstr>'1. Feasibility'!Área_de_impresión</vt:lpstr>
      <vt:lpstr>'2.Design Validation'!Área_de_impresión</vt:lpstr>
      <vt:lpstr>'3. Industrialization'!Área_de_impresión</vt:lpstr>
      <vt:lpstr>'4. SOP+6M'!Área_de_impresión</vt:lpstr>
      <vt:lpstr>'APQP GRC Non-Auto (PENDING)'!Área_de_impresión</vt:lpstr>
      <vt:lpstr>'Ed. Control'!Área_de_impresión</vt:lpstr>
      <vt:lpstr>'Gate Release Team'!Área_de_impresión</vt:lpstr>
      <vt:lpstr>'0. Items + RASIC'!Títulos_a_imprimir</vt:lpstr>
      <vt:lpstr>'0.APQP GRC'!Títulos_a_imprimir</vt:lpstr>
      <vt:lpstr>'1. Feasibility'!Títulos_a_imprimir</vt:lpstr>
      <vt:lpstr>'2.Design Validation'!Títulos_a_imprimir</vt:lpstr>
      <vt:lpstr>'3. Industrialization'!Títulos_a_imprimir</vt:lpstr>
      <vt:lpstr>'4. SOP+6M'!Títulos_a_imprimir</vt:lpstr>
      <vt:lpstr>'APQP GRC Non-Auto (PENDING)'!Títulos_a_imprimir</vt:lpstr>
      <vt:lpstr>'Gate Release Team'!Títulos_a_imprimir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Yogeshkumar Lakshme Gowda</dc:creator>
  <cp:keywords/>
  <dc:description/>
  <cp:lastModifiedBy>Juan Carlos Jimenez</cp:lastModifiedBy>
  <cp:revision/>
  <dcterms:created xsi:type="dcterms:W3CDTF">2024-06-24T05:20:27Z</dcterms:created>
  <dcterms:modified xsi:type="dcterms:W3CDTF">2026-06-30T15:13:50Z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0x010100D1D0E9A33D5B2E43AA9216D7D6550581</vt:lpwstr>
  </property>
  <property fmtid="{D5CDD505-2E9C-101B-9397-08002B2CF9AE}" pid="3" name="MediaServiceImageTags">
    <vt:lpwstr/>
  </property>
  <property fmtid="{D5CDD505-2E9C-101B-9397-08002B2CF9AE}" pid="4" name="Order">
    <vt:r8>16045900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dlc_DocIdItemGuid">
    <vt:lpwstr>0657698d-8d20-4b7e-a454-cd13644e607b</vt:lpwstr>
  </property>
  <property fmtid="{D5CDD505-2E9C-101B-9397-08002B2CF9AE}" pid="12" name="Code">
    <vt:lpwstr>N/A</vt:lpwstr>
  </property>
</Properties>
</file>